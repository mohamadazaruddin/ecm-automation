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aruddin\Documents\TD Bank\"/>
    </mc:Choice>
  </mc:AlternateContent>
  <xr:revisionPtr revIDLastSave="0" documentId="13_ncr:1_{BE13B1A3-D350-4D9C-B780-1B2780864D7B}" xr6:coauthVersionLast="47" xr6:coauthVersionMax="47" xr10:uidLastSave="{00000000-0000-0000-0000-000000000000}"/>
  <bookViews>
    <workbookView xWindow="-108" yWindow="-108" windowWidth="23256" windowHeight="12456" activeTab="1" xr2:uid="{D96D02C8-B2C2-40F1-8281-D369B8A563A5}"/>
  </bookViews>
  <sheets>
    <sheet name="unique focal entity" sheetId="6" r:id="rId1"/>
    <sheet name="Sheet4" sheetId="7" r:id="rId2"/>
    <sheet name="Table3" sheetId="5" r:id="rId3"/>
    <sheet name="Transaction" sheetId="3" r:id="rId4"/>
  </sheets>
  <definedNames>
    <definedName name="ExternalData_1" localSheetId="2" hidden="1">Table3!$A$1:$F$116</definedName>
    <definedName name="ExternalData_2" localSheetId="0" hidden="1">'unique focal entity'!$A$1:$A$4</definedName>
  </definedNames>
  <calcPr calcId="191029" calcOnSave="0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3" l="1"/>
  <c r="E1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0A80FB-C464-43C2-AF40-FF33D5E740F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FB447DB3-4827-4718-9DC9-3247B495BD4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17284D47-5667-4CFC-84F0-935A53628C27}" keepAlive="1" name="Query - unique focal entity" description="Connection to the 'unique focal entity' query in the workbook." type="5" refreshedVersion="8" background="1" saveData="1">
    <dbPr connection="Provider=Microsoft.Mashup.OleDb.1;Data Source=$Workbook$;Location=&quot;unique focal entity&quot;;Extended Properties=&quot;&quot;" command="SELECT * FROM [unique focal entity]"/>
  </connection>
</connections>
</file>

<file path=xl/sharedStrings.xml><?xml version="1.0" encoding="utf-8"?>
<sst xmlns="http://schemas.openxmlformats.org/spreadsheetml/2006/main" count="1427" uniqueCount="115">
  <si>
    <t xml:space="preserve">ALERTED VS NON-ALERTED </t>
  </si>
  <si>
    <t>Rule Category</t>
  </si>
  <si>
    <t>FOCAL ENTITY ACCOUNT #</t>
  </si>
  <si>
    <t>CLUSTER</t>
  </si>
  <si>
    <t>AMOUNT</t>
  </si>
  <si>
    <t>CREDIT / DEBIT</t>
  </si>
  <si>
    <t>TRANSACTION DATE TIMESTAMP</t>
  </si>
  <si>
    <t>TRANSACTION TYPE</t>
  </si>
  <si>
    <t>Transaction Type Detail</t>
  </si>
  <si>
    <t>CUSTOMER NAME</t>
  </si>
  <si>
    <t>COUNTERPARTY</t>
  </si>
  <si>
    <t>ADDITIONAL INFO / WIRE INSTRUCTIONS</t>
  </si>
  <si>
    <t>ALERTED</t>
  </si>
  <si>
    <t>High Vale</t>
  </si>
  <si>
    <t>DEBIT</t>
  </si>
  <si>
    <t>cash</t>
  </si>
  <si>
    <t>Retail</t>
  </si>
  <si>
    <t>Co</t>
  </si>
  <si>
    <t>funnelling</t>
  </si>
  <si>
    <t>p2p</t>
  </si>
  <si>
    <t>Grocery</t>
  </si>
  <si>
    <t>Whole Foods Market</t>
  </si>
  <si>
    <t>Layering</t>
  </si>
  <si>
    <t>Insurance</t>
  </si>
  <si>
    <t>Progressive</t>
  </si>
  <si>
    <t>Healthcare</t>
  </si>
  <si>
    <t>Walgreens</t>
  </si>
  <si>
    <t>Restaurant</t>
  </si>
  <si>
    <t>Ruth's Chris Steak House</t>
  </si>
  <si>
    <t>CREDIT</t>
  </si>
  <si>
    <t>Direct Deposit</t>
  </si>
  <si>
    <t>Deloitte US</t>
  </si>
  <si>
    <t>back office</t>
  </si>
  <si>
    <t>Travel</t>
  </si>
  <si>
    <t>Southwest Airlines</t>
  </si>
  <si>
    <t>Monetary Instruments</t>
  </si>
  <si>
    <t>Rent</t>
  </si>
  <si>
    <t>ABC Property Management</t>
  </si>
  <si>
    <t>Utilities</t>
  </si>
  <si>
    <t>Electric Company</t>
  </si>
  <si>
    <t>Safeway</t>
  </si>
  <si>
    <t>Foot Locker</t>
  </si>
  <si>
    <t>Services</t>
  </si>
  <si>
    <t>Internet Provider</t>
  </si>
  <si>
    <t>Credit Card</t>
  </si>
  <si>
    <t>Discover Card</t>
  </si>
  <si>
    <t>Transportation</t>
  </si>
  <si>
    <t>Lyft Inc</t>
  </si>
  <si>
    <t>Electronics</t>
  </si>
  <si>
    <t>GameStop</t>
  </si>
  <si>
    <t>P.F. Chang's</t>
  </si>
  <si>
    <t>Anthropologie</t>
  </si>
  <si>
    <t>Trader Joe's</t>
  </si>
  <si>
    <t>Water Department</t>
  </si>
  <si>
    <t>Subscription</t>
  </si>
  <si>
    <t>Adobe Creative Cloud</t>
  </si>
  <si>
    <t>Performance Bonus</t>
  </si>
  <si>
    <t>Hilton Hotels</t>
  </si>
  <si>
    <t>CVS Pharmacy</t>
  </si>
  <si>
    <t>Outback Steakhouse</t>
  </si>
  <si>
    <t>Urban Outfitters</t>
  </si>
  <si>
    <t>Chase Bank</t>
  </si>
  <si>
    <t>Uber Technologies</t>
  </si>
  <si>
    <t>Entertainment</t>
  </si>
  <si>
    <t>Movie Theater</t>
  </si>
  <si>
    <t>AT&amp;T</t>
  </si>
  <si>
    <t>REI Co-op</t>
  </si>
  <si>
    <t>Allstate</t>
  </si>
  <si>
    <t>The Capital Grille</t>
  </si>
  <si>
    <t>JetBlue Airways</t>
  </si>
  <si>
    <t>Gas Company</t>
  </si>
  <si>
    <t>Deposit</t>
  </si>
  <si>
    <t>J.Crew</t>
  </si>
  <si>
    <t>Purchase</t>
  </si>
  <si>
    <t>Comcast</t>
  </si>
  <si>
    <t>Payment</t>
  </si>
  <si>
    <t>American Express</t>
  </si>
  <si>
    <t>Apple Store</t>
  </si>
  <si>
    <t>Applebee's</t>
  </si>
  <si>
    <t>Williams Sonoma</t>
  </si>
  <si>
    <t>Sports Event Tickets</t>
  </si>
  <si>
    <t>Airbnb</t>
  </si>
  <si>
    <t>Verizon Wireless</t>
  </si>
  <si>
    <t>Cheesecake Factory</t>
  </si>
  <si>
    <t>Pottery Barn</t>
  </si>
  <si>
    <t>Citibank</t>
  </si>
  <si>
    <t>Dentist Office</t>
  </si>
  <si>
    <t>West Elm</t>
  </si>
  <si>
    <t>State Farm</t>
  </si>
  <si>
    <t>Morton's Steakhouse</t>
  </si>
  <si>
    <t>American Airlines</t>
  </si>
  <si>
    <t>Banana Republic</t>
  </si>
  <si>
    <t>Wells Fargo</t>
  </si>
  <si>
    <t>Best Buy</t>
  </si>
  <si>
    <t>Red Robin</t>
  </si>
  <si>
    <t>IMB223768882</t>
  </si>
  <si>
    <t>IMBBSI22773980-22</t>
  </si>
  <si>
    <t>IIMGAG-22202</t>
  </si>
  <si>
    <t>Benificery Account</t>
  </si>
  <si>
    <t>BBM2233-333</t>
  </si>
  <si>
    <t>Row Labels</t>
  </si>
  <si>
    <t>Grand Total</t>
  </si>
  <si>
    <t>TRANSACTION_DATE</t>
  </si>
  <si>
    <t>accounts</t>
  </si>
  <si>
    <t>Custom</t>
  </si>
  <si>
    <t>IMBBSI2277398022</t>
  </si>
  <si>
    <t>Focal entity Account</t>
  </si>
  <si>
    <t>IIMGAG22202</t>
  </si>
  <si>
    <t>BBM2233333</t>
  </si>
  <si>
    <t>External</t>
  </si>
  <si>
    <t>Column Labels</t>
  </si>
  <si>
    <t>Sum of accounts</t>
  </si>
  <si>
    <t>(All)</t>
  </si>
  <si>
    <t>External Total</t>
  </si>
  <si>
    <t>Focal entity Account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</si>
</sst>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1" fillId="2" borderId="2" xfId="0" applyNumberFormat="1" applyFont="1" applyFill="1" applyBorder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aruddin, Mohamad" refreshedDate="46127.051234837963" createdVersion="8" refreshedVersion="8" minRefreshableVersion="3" recordCount="115" xr:uid="{0354E87F-B8DE-4D1A-9C86-66E22A2E1DAB}">
  <cacheSource type="worksheet">
    <worksheetSource name="Table3_1"/>
  </cacheSource>
  <cacheFields count="6">
    <cacheField name="FOCAL ENTITY ACCOUNT #" numFmtId="0">
      <sharedItems count="3">
        <s v="IMB223768882"/>
        <s v="IMBBSI2277398022"/>
        <s v="IIMGAG22202"/>
      </sharedItems>
    </cacheField>
    <cacheField name="Benificery Account" numFmtId="0">
      <sharedItems count="3">
        <s v="IMBBSI2277398022"/>
        <s v="IMB223768882"/>
        <s v="BBM2233333"/>
      </sharedItems>
    </cacheField>
    <cacheField name="CREDIT / DEBIT" numFmtId="0">
      <sharedItems count="2">
        <s v="DEBIT"/>
        <s v="CREDIT"/>
      </sharedItems>
    </cacheField>
    <cacheField name="TRANSACTION_DATE" numFmtId="22">
      <sharedItems containsSemiMixedTypes="0" containsNonDate="0" containsDate="1" containsString="0" minDate="2023-01-12T00:00:00" maxDate="2026-01-25T00:00:00" count="101">
        <d v="2024-05-15T00:00:00"/>
        <d v="2024-05-16T00:00:00"/>
        <d v="2024-05-17T00:00:00"/>
        <d v="2024-05-18T00:00:00"/>
        <d v="2024-05-19T00:00:00"/>
        <d v="2024-05-25T00:00:00"/>
        <d v="2024-05-27T00:00:00"/>
        <d v="2024-05-28T00:00:00"/>
        <d v="2024-05-29T00:00:00"/>
        <d v="2024-06-05T00:00:00"/>
        <d v="2024-06-06T00:00:00"/>
        <d v="2024-06-07T00:00:00"/>
        <d v="2024-06-08T00:00:00"/>
        <d v="2024-06-09T00:00:00"/>
        <d v="2024-06-10T00:00:00"/>
        <d v="2024-06-15T00:00:00"/>
        <d v="2024-06-16T00:00:00"/>
        <d v="2024-06-17T00:00:00"/>
        <d v="2024-06-18T00:00:00"/>
        <d v="2024-06-19T00:00:00"/>
        <d v="2024-06-25T00:00:00"/>
        <d v="2024-06-27T00:00:00"/>
        <d v="2024-06-28T00:00:00"/>
        <d v="2024-06-29T00:00:00"/>
        <d v="2024-07-05T00:00:00"/>
        <d v="2024-07-06T00:00:00"/>
        <d v="2024-07-07T00:00:00"/>
        <d v="2024-07-08T00:00:00"/>
        <d v="2024-07-09T00:00:00"/>
        <d v="2024-07-10T00:00:00"/>
        <d v="2024-07-15T00:00:00"/>
        <d v="2024-07-16T00:00:00"/>
        <d v="2024-07-17T00:00:00"/>
        <d v="2024-07-18T00:00:00"/>
        <d v="2024-07-19T00:00:00"/>
        <d v="2024-07-25T00:00:00"/>
        <d v="2024-07-27T00:00:00"/>
        <d v="2024-07-28T00:00:00"/>
        <d v="2024-07-29T00:00:00"/>
        <d v="2024-08-05T00:00:00"/>
        <d v="2024-08-06T00:00:00"/>
        <d v="2024-08-07T00:00:00"/>
        <d v="2024-08-08T00:00:00"/>
        <d v="2024-08-09T00:00:00"/>
        <d v="2024-08-10T00:00:00"/>
        <d v="2024-08-15T00:00:00"/>
        <d v="2024-08-16T00:00:00"/>
        <d v="2024-08-17T00:00:00"/>
        <d v="2024-08-18T00:00:00"/>
        <d v="2024-08-19T00:00:00"/>
        <d v="2024-08-25T00:00:00"/>
        <d v="2024-08-27T00:00:00"/>
        <d v="2024-08-28T00:00:00"/>
        <d v="2024-08-29T00:00:00"/>
        <d v="2024-09-05T00:00:00"/>
        <d v="2024-09-06T00:00:00"/>
        <d v="2024-09-07T00:00:00"/>
        <d v="2024-09-08T00:00:00"/>
        <d v="2024-09-09T00:00:00"/>
        <d v="2024-09-10T00:00:00"/>
        <d v="2024-09-15T00:00:00"/>
        <d v="2024-09-16T00:00:00"/>
        <d v="2024-09-17T00:00:00"/>
        <d v="2024-09-18T00:00:00"/>
        <d v="2024-09-19T00:00:00"/>
        <d v="2024-09-25T00:00:00"/>
        <d v="2024-09-27T00:00:00"/>
        <d v="2024-09-28T00:00:00"/>
        <d v="2024-09-29T00:00:00"/>
        <d v="2024-10-05T00:00:00"/>
        <d v="2024-10-06T00:00:00"/>
        <d v="2024-10-07T00:00:00"/>
        <d v="2024-10-08T00:00:00"/>
        <d v="2024-10-09T00:00:00"/>
        <d v="2024-11-10T00:00:00"/>
        <d v="2024-12-11T00:00:00"/>
        <d v="2025-01-12T00:00:00"/>
        <d v="2025-02-13T00:00:00"/>
        <d v="2025-03-14T00:00:00"/>
        <d v="2025-04-15T00:00:00"/>
        <d v="2025-05-16T00:00:00"/>
        <d v="2025-06-17T00:00:00"/>
        <d v="2025-07-18T00:00:00"/>
        <d v="2025-08-19T00:00:00"/>
        <d v="2025-09-20T00:00:00"/>
        <d v="2025-10-21T00:00:00"/>
        <d v="2025-11-22T00:00:00"/>
        <d v="2025-12-23T00:00:00"/>
        <d v="2026-01-24T00:00:00"/>
        <d v="2023-01-12T00:00:00"/>
        <d v="2023-02-13T00:00:00"/>
        <d v="2023-03-14T00:00:00"/>
        <d v="2023-04-15T00:00:00"/>
        <d v="2023-05-16T00:00:00"/>
        <d v="2023-06-17T00:00:00"/>
        <d v="2023-07-18T00:00:00"/>
        <d v="2023-08-19T00:00:00"/>
        <d v="2023-09-20T00:00:00"/>
        <d v="2023-10-21T00:00:00"/>
        <d v="2023-11-22T00:00:00"/>
        <d v="2023-12-23T00:00:00"/>
      </sharedItems>
    </cacheField>
    <cacheField name="accounts" numFmtId="0">
      <sharedItems containsSemiMixedTypes="0" containsString="0" containsNumber="1" minValue="1.0000000000019301E-2" maxValue="3500" count="62">
        <n v="340"/>
        <n v="98.75"/>
        <n v="450"/>
        <n v="89"/>
        <n v="235.5"/>
        <n v="3500"/>
        <n v="680"/>
        <n v="2100"/>
        <n v="145"/>
        <n v="78.5"/>
        <n v="295"/>
        <n v="125"/>
        <n v="1050"/>
        <n v="42.5"/>
        <n v="189.99"/>
        <n v="95"/>
        <n v="67.900000000000006"/>
        <n v="225"/>
        <n v="89.99"/>
        <n v="500"/>
        <n v="785"/>
        <n v="98.5"/>
        <n v="345"/>
        <n v="89.75"/>
        <n v="1150"/>
        <n v="56"/>
        <n v="175"/>
        <n v="520"/>
        <n v="95.5"/>
        <n v="78"/>
        <n v="189.5"/>
        <n v="650"/>
        <n v="67.8"/>
        <n v="275"/>
        <n v="950"/>
        <n v="45"/>
        <n v="199.99"/>
        <n v="425"/>
        <n v="78.900000000000006"/>
        <n v="200"/>
        <n v="320"/>
        <n v="540"/>
        <n v="385"/>
        <n v="1250"/>
        <n v="67"/>
        <n v="495"/>
        <n v="235"/>
        <n v="720"/>
        <n v="1.0000000000019301E-2"/>
        <n v="94.98"/>
        <n v="189.97"/>
        <n v="284.95999999999998"/>
        <n v="379.95"/>
        <n v="474.94"/>
        <n v="569.92999999999995"/>
        <n v="664.92"/>
        <n v="759.91"/>
        <n v="854.9"/>
        <n v="949.89"/>
        <n v="1044.8800000000001"/>
        <n v="1139.8699999999999"/>
        <n v="1234.8599999999999"/>
      </sharedItems>
    </cacheField>
    <cacheField name="Custom" numFmtId="0">
      <sharedItems count="2">
        <s v="Focal entity Account"/>
        <s v="Extern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x v="0"/>
    <x v="0"/>
    <x v="0"/>
    <x v="0"/>
    <x v="0"/>
  </r>
  <r>
    <x v="0"/>
    <x v="0"/>
    <x v="0"/>
    <x v="1"/>
    <x v="1"/>
    <x v="0"/>
  </r>
  <r>
    <x v="0"/>
    <x v="0"/>
    <x v="0"/>
    <x v="2"/>
    <x v="2"/>
    <x v="0"/>
  </r>
  <r>
    <x v="0"/>
    <x v="0"/>
    <x v="0"/>
    <x v="3"/>
    <x v="3"/>
    <x v="0"/>
  </r>
  <r>
    <x v="0"/>
    <x v="0"/>
    <x v="0"/>
    <x v="4"/>
    <x v="4"/>
    <x v="0"/>
  </r>
  <r>
    <x v="0"/>
    <x v="0"/>
    <x v="1"/>
    <x v="5"/>
    <x v="5"/>
    <x v="0"/>
  </r>
  <r>
    <x v="0"/>
    <x v="0"/>
    <x v="0"/>
    <x v="5"/>
    <x v="6"/>
    <x v="0"/>
  </r>
  <r>
    <x v="0"/>
    <x v="1"/>
    <x v="0"/>
    <x v="6"/>
    <x v="7"/>
    <x v="0"/>
  </r>
  <r>
    <x v="0"/>
    <x v="1"/>
    <x v="0"/>
    <x v="7"/>
    <x v="8"/>
    <x v="0"/>
  </r>
  <r>
    <x v="0"/>
    <x v="1"/>
    <x v="0"/>
    <x v="8"/>
    <x v="9"/>
    <x v="0"/>
  </r>
  <r>
    <x v="1"/>
    <x v="1"/>
    <x v="1"/>
    <x v="9"/>
    <x v="5"/>
    <x v="0"/>
  </r>
  <r>
    <x v="1"/>
    <x v="1"/>
    <x v="0"/>
    <x v="9"/>
    <x v="10"/>
    <x v="0"/>
  </r>
  <r>
    <x v="1"/>
    <x v="1"/>
    <x v="0"/>
    <x v="10"/>
    <x v="11"/>
    <x v="0"/>
  </r>
  <r>
    <x v="1"/>
    <x v="1"/>
    <x v="0"/>
    <x v="11"/>
    <x v="12"/>
    <x v="0"/>
  </r>
  <r>
    <x v="1"/>
    <x v="1"/>
    <x v="0"/>
    <x v="12"/>
    <x v="13"/>
    <x v="0"/>
  </r>
  <r>
    <x v="1"/>
    <x v="1"/>
    <x v="0"/>
    <x v="13"/>
    <x v="14"/>
    <x v="0"/>
  </r>
  <r>
    <x v="1"/>
    <x v="1"/>
    <x v="0"/>
    <x v="14"/>
    <x v="15"/>
    <x v="0"/>
  </r>
  <r>
    <x v="2"/>
    <x v="1"/>
    <x v="1"/>
    <x v="15"/>
    <x v="5"/>
    <x v="0"/>
  </r>
  <r>
    <x v="2"/>
    <x v="2"/>
    <x v="0"/>
    <x v="15"/>
    <x v="2"/>
    <x v="1"/>
  </r>
  <r>
    <x v="2"/>
    <x v="2"/>
    <x v="0"/>
    <x v="16"/>
    <x v="16"/>
    <x v="1"/>
  </r>
  <r>
    <x v="2"/>
    <x v="2"/>
    <x v="0"/>
    <x v="17"/>
    <x v="17"/>
    <x v="1"/>
  </r>
  <r>
    <x v="2"/>
    <x v="2"/>
    <x v="0"/>
    <x v="18"/>
    <x v="18"/>
    <x v="1"/>
  </r>
  <r>
    <x v="2"/>
    <x v="2"/>
    <x v="1"/>
    <x v="19"/>
    <x v="19"/>
    <x v="1"/>
  </r>
  <r>
    <x v="2"/>
    <x v="2"/>
    <x v="1"/>
    <x v="20"/>
    <x v="5"/>
    <x v="1"/>
  </r>
  <r>
    <x v="2"/>
    <x v="2"/>
    <x v="0"/>
    <x v="20"/>
    <x v="20"/>
    <x v="1"/>
  </r>
  <r>
    <x v="2"/>
    <x v="2"/>
    <x v="0"/>
    <x v="21"/>
    <x v="7"/>
    <x v="1"/>
  </r>
  <r>
    <x v="2"/>
    <x v="2"/>
    <x v="0"/>
    <x v="22"/>
    <x v="11"/>
    <x v="1"/>
  </r>
  <r>
    <x v="2"/>
    <x v="2"/>
    <x v="0"/>
    <x v="23"/>
    <x v="21"/>
    <x v="1"/>
  </r>
  <r>
    <x v="2"/>
    <x v="2"/>
    <x v="1"/>
    <x v="24"/>
    <x v="5"/>
    <x v="1"/>
  </r>
  <r>
    <x v="2"/>
    <x v="2"/>
    <x v="0"/>
    <x v="24"/>
    <x v="22"/>
    <x v="1"/>
  </r>
  <r>
    <x v="2"/>
    <x v="2"/>
    <x v="0"/>
    <x v="25"/>
    <x v="23"/>
    <x v="1"/>
  </r>
  <r>
    <x v="2"/>
    <x v="2"/>
    <x v="0"/>
    <x v="26"/>
    <x v="24"/>
    <x v="1"/>
  </r>
  <r>
    <x v="0"/>
    <x v="2"/>
    <x v="0"/>
    <x v="27"/>
    <x v="25"/>
    <x v="1"/>
  </r>
  <r>
    <x v="0"/>
    <x v="2"/>
    <x v="0"/>
    <x v="28"/>
    <x v="26"/>
    <x v="1"/>
  </r>
  <r>
    <x v="0"/>
    <x v="2"/>
    <x v="0"/>
    <x v="29"/>
    <x v="11"/>
    <x v="1"/>
  </r>
  <r>
    <x v="0"/>
    <x v="2"/>
    <x v="1"/>
    <x v="30"/>
    <x v="5"/>
    <x v="1"/>
  </r>
  <r>
    <x v="0"/>
    <x v="2"/>
    <x v="0"/>
    <x v="30"/>
    <x v="27"/>
    <x v="1"/>
  </r>
  <r>
    <x v="0"/>
    <x v="2"/>
    <x v="0"/>
    <x v="31"/>
    <x v="28"/>
    <x v="1"/>
  </r>
  <r>
    <x v="0"/>
    <x v="2"/>
    <x v="0"/>
    <x v="32"/>
    <x v="2"/>
    <x v="1"/>
  </r>
  <r>
    <x v="0"/>
    <x v="2"/>
    <x v="0"/>
    <x v="33"/>
    <x v="29"/>
    <x v="1"/>
  </r>
  <r>
    <x v="0"/>
    <x v="2"/>
    <x v="0"/>
    <x v="34"/>
    <x v="30"/>
    <x v="1"/>
  </r>
  <r>
    <x v="0"/>
    <x v="2"/>
    <x v="1"/>
    <x v="35"/>
    <x v="5"/>
    <x v="1"/>
  </r>
  <r>
    <x v="0"/>
    <x v="2"/>
    <x v="0"/>
    <x v="35"/>
    <x v="31"/>
    <x v="1"/>
  </r>
  <r>
    <x v="0"/>
    <x v="2"/>
    <x v="0"/>
    <x v="36"/>
    <x v="7"/>
    <x v="1"/>
  </r>
  <r>
    <x v="0"/>
    <x v="2"/>
    <x v="0"/>
    <x v="37"/>
    <x v="8"/>
    <x v="1"/>
  </r>
  <r>
    <x v="0"/>
    <x v="2"/>
    <x v="0"/>
    <x v="38"/>
    <x v="32"/>
    <x v="1"/>
  </r>
  <r>
    <x v="0"/>
    <x v="2"/>
    <x v="1"/>
    <x v="39"/>
    <x v="5"/>
    <x v="1"/>
  </r>
  <r>
    <x v="0"/>
    <x v="2"/>
    <x v="0"/>
    <x v="39"/>
    <x v="33"/>
    <x v="1"/>
  </r>
  <r>
    <x v="0"/>
    <x v="2"/>
    <x v="0"/>
    <x v="40"/>
    <x v="11"/>
    <x v="1"/>
  </r>
  <r>
    <x v="0"/>
    <x v="2"/>
    <x v="0"/>
    <x v="41"/>
    <x v="34"/>
    <x v="1"/>
  </r>
  <r>
    <x v="0"/>
    <x v="2"/>
    <x v="0"/>
    <x v="42"/>
    <x v="35"/>
    <x v="1"/>
  </r>
  <r>
    <x v="0"/>
    <x v="2"/>
    <x v="0"/>
    <x v="43"/>
    <x v="36"/>
    <x v="1"/>
  </r>
  <r>
    <x v="0"/>
    <x v="2"/>
    <x v="0"/>
    <x v="44"/>
    <x v="3"/>
    <x v="1"/>
  </r>
  <r>
    <x v="0"/>
    <x v="2"/>
    <x v="1"/>
    <x v="45"/>
    <x v="5"/>
    <x v="1"/>
  </r>
  <r>
    <x v="0"/>
    <x v="2"/>
    <x v="0"/>
    <x v="45"/>
    <x v="37"/>
    <x v="1"/>
  </r>
  <r>
    <x v="0"/>
    <x v="2"/>
    <x v="0"/>
    <x v="46"/>
    <x v="38"/>
    <x v="1"/>
  </r>
  <r>
    <x v="0"/>
    <x v="2"/>
    <x v="0"/>
    <x v="47"/>
    <x v="39"/>
    <x v="1"/>
  </r>
  <r>
    <x v="0"/>
    <x v="2"/>
    <x v="0"/>
    <x v="48"/>
    <x v="15"/>
    <x v="1"/>
  </r>
  <r>
    <x v="0"/>
    <x v="2"/>
    <x v="0"/>
    <x v="49"/>
    <x v="40"/>
    <x v="1"/>
  </r>
  <r>
    <x v="0"/>
    <x v="2"/>
    <x v="1"/>
    <x v="50"/>
    <x v="5"/>
    <x v="1"/>
  </r>
  <r>
    <x v="0"/>
    <x v="2"/>
    <x v="0"/>
    <x v="50"/>
    <x v="41"/>
    <x v="1"/>
  </r>
  <r>
    <x v="0"/>
    <x v="2"/>
    <x v="0"/>
    <x v="51"/>
    <x v="7"/>
    <x v="1"/>
  </r>
  <r>
    <x v="0"/>
    <x v="2"/>
    <x v="0"/>
    <x v="52"/>
    <x v="11"/>
    <x v="1"/>
  </r>
  <r>
    <x v="0"/>
    <x v="2"/>
    <x v="0"/>
    <x v="53"/>
    <x v="21"/>
    <x v="1"/>
  </r>
  <r>
    <x v="0"/>
    <x v="2"/>
    <x v="1"/>
    <x v="54"/>
    <x v="5"/>
    <x v="1"/>
  </r>
  <r>
    <x v="0"/>
    <x v="2"/>
    <x v="0"/>
    <x v="54"/>
    <x v="42"/>
    <x v="1"/>
  </r>
  <r>
    <x v="0"/>
    <x v="2"/>
    <x v="0"/>
    <x v="55"/>
    <x v="23"/>
    <x v="1"/>
  </r>
  <r>
    <x v="0"/>
    <x v="2"/>
    <x v="0"/>
    <x v="56"/>
    <x v="43"/>
    <x v="1"/>
  </r>
  <r>
    <x v="0"/>
    <x v="2"/>
    <x v="0"/>
    <x v="57"/>
    <x v="44"/>
    <x v="1"/>
  </r>
  <r>
    <x v="0"/>
    <x v="2"/>
    <x v="0"/>
    <x v="58"/>
    <x v="26"/>
    <x v="1"/>
  </r>
  <r>
    <x v="0"/>
    <x v="2"/>
    <x v="0"/>
    <x v="59"/>
    <x v="11"/>
    <x v="1"/>
  </r>
  <r>
    <x v="0"/>
    <x v="2"/>
    <x v="1"/>
    <x v="60"/>
    <x v="5"/>
    <x v="1"/>
  </r>
  <r>
    <x v="0"/>
    <x v="2"/>
    <x v="0"/>
    <x v="60"/>
    <x v="45"/>
    <x v="1"/>
  </r>
  <r>
    <x v="0"/>
    <x v="2"/>
    <x v="0"/>
    <x v="61"/>
    <x v="28"/>
    <x v="1"/>
  </r>
  <r>
    <x v="0"/>
    <x v="2"/>
    <x v="0"/>
    <x v="62"/>
    <x v="2"/>
    <x v="1"/>
  </r>
  <r>
    <x v="0"/>
    <x v="2"/>
    <x v="0"/>
    <x v="63"/>
    <x v="29"/>
    <x v="1"/>
  </r>
  <r>
    <x v="0"/>
    <x v="2"/>
    <x v="0"/>
    <x v="64"/>
    <x v="46"/>
    <x v="1"/>
  </r>
  <r>
    <x v="0"/>
    <x v="2"/>
    <x v="1"/>
    <x v="65"/>
    <x v="5"/>
    <x v="1"/>
  </r>
  <r>
    <x v="0"/>
    <x v="2"/>
    <x v="0"/>
    <x v="65"/>
    <x v="47"/>
    <x v="1"/>
  </r>
  <r>
    <x v="0"/>
    <x v="2"/>
    <x v="0"/>
    <x v="66"/>
    <x v="7"/>
    <x v="1"/>
  </r>
  <r>
    <x v="0"/>
    <x v="2"/>
    <x v="0"/>
    <x v="67"/>
    <x v="8"/>
    <x v="1"/>
  </r>
  <r>
    <x v="0"/>
    <x v="2"/>
    <x v="0"/>
    <x v="68"/>
    <x v="32"/>
    <x v="1"/>
  </r>
  <r>
    <x v="0"/>
    <x v="2"/>
    <x v="1"/>
    <x v="69"/>
    <x v="5"/>
    <x v="1"/>
  </r>
  <r>
    <x v="0"/>
    <x v="2"/>
    <x v="0"/>
    <x v="69"/>
    <x v="0"/>
    <x v="1"/>
  </r>
  <r>
    <x v="0"/>
    <x v="2"/>
    <x v="0"/>
    <x v="70"/>
    <x v="11"/>
    <x v="1"/>
  </r>
  <r>
    <x v="0"/>
    <x v="2"/>
    <x v="0"/>
    <x v="71"/>
    <x v="12"/>
    <x v="1"/>
  </r>
  <r>
    <x v="0"/>
    <x v="2"/>
    <x v="0"/>
    <x v="72"/>
    <x v="13"/>
    <x v="1"/>
  </r>
  <r>
    <x v="0"/>
    <x v="2"/>
    <x v="0"/>
    <x v="73"/>
    <x v="14"/>
    <x v="1"/>
  </r>
  <r>
    <x v="0"/>
    <x v="2"/>
    <x v="0"/>
    <x v="74"/>
    <x v="15"/>
    <x v="1"/>
  </r>
  <r>
    <x v="0"/>
    <x v="2"/>
    <x v="0"/>
    <x v="75"/>
    <x v="48"/>
    <x v="1"/>
  </r>
  <r>
    <x v="0"/>
    <x v="2"/>
    <x v="0"/>
    <x v="76"/>
    <x v="49"/>
    <x v="1"/>
  </r>
  <r>
    <x v="0"/>
    <x v="2"/>
    <x v="0"/>
    <x v="77"/>
    <x v="50"/>
    <x v="1"/>
  </r>
  <r>
    <x v="0"/>
    <x v="2"/>
    <x v="0"/>
    <x v="78"/>
    <x v="51"/>
    <x v="1"/>
  </r>
  <r>
    <x v="0"/>
    <x v="2"/>
    <x v="0"/>
    <x v="79"/>
    <x v="52"/>
    <x v="1"/>
  </r>
  <r>
    <x v="0"/>
    <x v="2"/>
    <x v="0"/>
    <x v="80"/>
    <x v="53"/>
    <x v="1"/>
  </r>
  <r>
    <x v="0"/>
    <x v="2"/>
    <x v="0"/>
    <x v="81"/>
    <x v="54"/>
    <x v="1"/>
  </r>
  <r>
    <x v="0"/>
    <x v="2"/>
    <x v="0"/>
    <x v="82"/>
    <x v="55"/>
    <x v="1"/>
  </r>
  <r>
    <x v="0"/>
    <x v="2"/>
    <x v="0"/>
    <x v="83"/>
    <x v="56"/>
    <x v="1"/>
  </r>
  <r>
    <x v="0"/>
    <x v="2"/>
    <x v="0"/>
    <x v="84"/>
    <x v="57"/>
    <x v="1"/>
  </r>
  <r>
    <x v="0"/>
    <x v="2"/>
    <x v="0"/>
    <x v="85"/>
    <x v="58"/>
    <x v="1"/>
  </r>
  <r>
    <x v="0"/>
    <x v="2"/>
    <x v="0"/>
    <x v="86"/>
    <x v="59"/>
    <x v="1"/>
  </r>
  <r>
    <x v="0"/>
    <x v="2"/>
    <x v="0"/>
    <x v="87"/>
    <x v="60"/>
    <x v="1"/>
  </r>
  <r>
    <x v="0"/>
    <x v="2"/>
    <x v="0"/>
    <x v="88"/>
    <x v="61"/>
    <x v="1"/>
  </r>
  <r>
    <x v="0"/>
    <x v="2"/>
    <x v="0"/>
    <x v="89"/>
    <x v="49"/>
    <x v="1"/>
  </r>
  <r>
    <x v="0"/>
    <x v="2"/>
    <x v="0"/>
    <x v="90"/>
    <x v="50"/>
    <x v="1"/>
  </r>
  <r>
    <x v="0"/>
    <x v="2"/>
    <x v="0"/>
    <x v="91"/>
    <x v="51"/>
    <x v="1"/>
  </r>
  <r>
    <x v="0"/>
    <x v="2"/>
    <x v="0"/>
    <x v="92"/>
    <x v="52"/>
    <x v="1"/>
  </r>
  <r>
    <x v="0"/>
    <x v="2"/>
    <x v="0"/>
    <x v="93"/>
    <x v="53"/>
    <x v="1"/>
  </r>
  <r>
    <x v="0"/>
    <x v="2"/>
    <x v="0"/>
    <x v="94"/>
    <x v="54"/>
    <x v="1"/>
  </r>
  <r>
    <x v="0"/>
    <x v="2"/>
    <x v="0"/>
    <x v="95"/>
    <x v="55"/>
    <x v="1"/>
  </r>
  <r>
    <x v="0"/>
    <x v="2"/>
    <x v="0"/>
    <x v="96"/>
    <x v="56"/>
    <x v="1"/>
  </r>
  <r>
    <x v="0"/>
    <x v="2"/>
    <x v="0"/>
    <x v="97"/>
    <x v="57"/>
    <x v="1"/>
  </r>
  <r>
    <x v="0"/>
    <x v="2"/>
    <x v="0"/>
    <x v="98"/>
    <x v="58"/>
    <x v="1"/>
  </r>
  <r>
    <x v="0"/>
    <x v="2"/>
    <x v="0"/>
    <x v="99"/>
    <x v="59"/>
    <x v="1"/>
  </r>
  <r>
    <x v="0"/>
    <x v="2"/>
    <x v="0"/>
    <x v="100"/>
    <x v="6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050CA-926C-4FE1-96A8-B612727CF92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G16" firstHeaderRow="1" firstDataRow="3" firstDataCol="1" rowPageCount="1" colPageCount="1"/>
  <pivotFields count="6"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Page" numFmtId="22" showAll="0">
      <items count="102"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dataField="1" showAll="0">
      <items count="63">
        <item x="48"/>
        <item x="13"/>
        <item x="35"/>
        <item x="25"/>
        <item x="44"/>
        <item x="32"/>
        <item x="16"/>
        <item x="29"/>
        <item x="9"/>
        <item x="38"/>
        <item x="3"/>
        <item x="23"/>
        <item x="18"/>
        <item x="49"/>
        <item x="15"/>
        <item x="28"/>
        <item x="21"/>
        <item x="1"/>
        <item x="11"/>
        <item x="8"/>
        <item x="26"/>
        <item x="30"/>
        <item x="50"/>
        <item x="14"/>
        <item x="36"/>
        <item x="39"/>
        <item x="17"/>
        <item x="46"/>
        <item x="4"/>
        <item x="33"/>
        <item x="51"/>
        <item x="10"/>
        <item x="40"/>
        <item x="0"/>
        <item x="22"/>
        <item x="52"/>
        <item x="42"/>
        <item x="37"/>
        <item x="2"/>
        <item x="53"/>
        <item x="45"/>
        <item x="19"/>
        <item x="27"/>
        <item x="41"/>
        <item x="54"/>
        <item x="31"/>
        <item x="55"/>
        <item x="6"/>
        <item x="47"/>
        <item x="56"/>
        <item x="20"/>
        <item x="57"/>
        <item x="58"/>
        <item x="34"/>
        <item x="59"/>
        <item x="12"/>
        <item x="60"/>
        <item x="24"/>
        <item x="61"/>
        <item x="43"/>
        <item x="7"/>
        <item x="5"/>
        <item t="default"/>
      </items>
    </pivotField>
    <pivotField axis="axisCol" showAll="0">
      <items count="3">
        <item x="1"/>
        <item x="0"/>
        <item t="default"/>
      </items>
    </pivotField>
  </pivotFields>
  <rowFields count="2">
    <field x="0"/>
    <field x="2"/>
  </rowFields>
  <rowItems count="10">
    <i>
      <x v="1"/>
    </i>
    <i r="1">
      <x/>
    </i>
    <i r="1">
      <x v="1"/>
    </i>
    <i>
      <x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5"/>
    <field x="1"/>
  </colFields>
  <colItems count="6">
    <i>
      <x/>
      <x/>
    </i>
    <i t="default">
      <x/>
    </i>
    <i>
      <x v="1"/>
      <x v="1"/>
    </i>
    <i r="1">
      <x v="2"/>
    </i>
    <i t="default">
      <x v="1"/>
    </i>
    <i t="grand">
      <x/>
    </i>
  </colItems>
  <pageFields count="1">
    <pageField fld="3" hier="-1"/>
  </pageFields>
  <dataFields count="1">
    <dataField name="Sum of accounts" fld="4" baseField="0" baseItem="0"/>
  </dataFields>
  <chartFormats count="3"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78A10C1-9875-42CB-8075-7C908F8FA584}" autoFormatId="16" applyNumberFormats="0" applyBorderFormats="0" applyFontFormats="0" applyPatternFormats="0" applyAlignmentFormats="0" applyWidthHeightFormats="0">
  <queryTableRefresh nextId="2">
    <queryTableFields count="1">
      <queryTableField id="1" name="FOCAL ENTITY ACCOUNT #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4B061B-FCA4-4EFB-AA21-5CEBA0C8E1D9}" autoFormatId="16" applyNumberFormats="0" applyBorderFormats="0" applyFontFormats="0" applyPatternFormats="0" applyAlignmentFormats="0" applyWidthHeightFormats="0">
  <queryTableRefresh nextId="20">
    <queryTableFields count="6">
      <queryTableField id="3" name="FOCAL ENTITY ACCOUNT #" tableColumnId="3"/>
      <queryTableField id="14" name="Benificery Account" tableColumnId="14"/>
      <queryTableField id="15" name="CREDIT / DEBIT" tableColumnId="15"/>
      <queryTableField id="17" name="TRANSACTION_DATE" tableColumnId="17"/>
      <queryTableField id="16" name="accounts" tableColumnId="16"/>
      <queryTableField id="18" name="Custom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D65FB1-BF28-4B30-BBA8-E2905833B3C6}" name="unique_focal_entity" displayName="unique_focal_entity" ref="A1:A4" tableType="queryTable" totalsRowShown="0">
  <autoFilter ref="A1:A4" xr:uid="{98D65FB1-BF28-4B30-BBA8-E2905833B3C6}"/>
  <tableColumns count="1">
    <tableColumn id="1" xr3:uid="{EEF19349-2889-4993-BB74-FB6A1C482909}" uniqueName="1" name="FOCAL ENTITY ACCOUNT #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C0DCFC-4D64-45AC-908B-A9C1250707D2}" name="Table3_1" displayName="Table3_1" ref="A1:F116" tableType="queryTable" totalsRowShown="0">
  <autoFilter ref="A1:F116" xr:uid="{21C0DCFC-4D64-45AC-908B-A9C1250707D2}"/>
  <tableColumns count="6">
    <tableColumn id="3" xr3:uid="{80E5E78C-DEA8-4CFF-A7AB-D4A62F72FCBD}" uniqueName="3" name="FOCAL ENTITY ACCOUNT #" queryTableFieldId="3" dataDxfId="4"/>
    <tableColumn id="14" xr3:uid="{D32BF8BD-758D-40E6-BFA4-0B675FC097CC}" uniqueName="14" name="Benificery Account" queryTableFieldId="14" dataDxfId="3"/>
    <tableColumn id="15" xr3:uid="{0701E9CE-B966-4912-849D-278832B6135B}" uniqueName="15" name="CREDIT / DEBIT" queryTableFieldId="15" dataDxfId="2"/>
    <tableColumn id="17" xr3:uid="{0FD60C57-0291-4B76-A5F2-135A23436726}" uniqueName="17" name="TRANSACTION_DATE" queryTableFieldId="17" dataDxfId="1"/>
    <tableColumn id="16" xr3:uid="{9FE16003-7410-4E45-929D-D689638C5D16}" uniqueName="16" name="accounts" queryTableFieldId="16"/>
    <tableColumn id="18" xr3:uid="{312F5631-DA6F-4D62-A8E1-F9FCC8968440}" uniqueName="18" name="Custom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566530-773B-431B-A167-183079A541DD}" name="Table3" displayName="Table3" ref="A1:N116" totalsRowShown="0" headerRowDxfId="6" headerRowBorderDxfId="7" tableBorderDxfId="8">
  <autoFilter ref="A1:N116" xr:uid="{EB566530-773B-431B-A167-183079A541DD}">
    <filterColumn colId="2">
      <filters>
        <filter val="IMB223768882"/>
      </filters>
    </filterColumn>
    <filterColumn colId="13">
      <filters>
        <filter val="IMBBSI22773980-22"/>
      </filters>
    </filterColumn>
  </autoFilter>
  <tableColumns count="14">
    <tableColumn id="1" xr3:uid="{AB03357F-D3FE-4A35-BFAF-2A9E5129A0DA}" name="ALERTED VS NON-ALERTED "/>
    <tableColumn id="2" xr3:uid="{CA9F53F5-121A-4CD7-ACA5-0921B433C691}" name="Rule Category"/>
    <tableColumn id="3" xr3:uid="{65DE6B9C-6AF6-4325-9131-F358A7BB786E}" name="FOCAL ENTITY ACCOUNT #"/>
    <tableColumn id="4" xr3:uid="{59D7C496-4E36-4265-A61C-9DF0ABD96A2D}" name="CLUSTER"/>
    <tableColumn id="5" xr3:uid="{8A9917DA-464E-4D37-85F7-F4B6D09E5991}" name="AMOUNT"/>
    <tableColumn id="6" xr3:uid="{6A339E81-F46A-406B-BDBF-6A048ACE7F48}" name="CREDIT / DEBIT"/>
    <tableColumn id="7" xr3:uid="{A4A8F8A4-5ED1-4571-BFAD-A6FE7C075A6B}" name="TRANSACTION_DATE" dataDxfId="5"/>
    <tableColumn id="8" xr3:uid="{C4D2E919-B806-450B-B9F5-DFB480C6A4CD}" name="TRANSACTION DATE TIMESTAMP"/>
    <tableColumn id="9" xr3:uid="{D9009519-E547-413D-83AF-F42A69B133CF}" name="TRANSACTION TYPE"/>
    <tableColumn id="10" xr3:uid="{FA18FA94-FCAC-40DE-B55F-3A4F9650EB42}" name="Transaction Type Detail"/>
    <tableColumn id="11" xr3:uid="{8DF94597-A8F8-418C-A8CB-6E75FEDFF25A}" name="CUSTOMER NAME"/>
    <tableColumn id="12" xr3:uid="{3646A182-C3DF-4B6C-BA34-B7867AE63539}" name="COUNTERPARTY"/>
    <tableColumn id="13" xr3:uid="{2B4DD7B6-5D4D-41F8-91F3-F01D33D0B5F2}" name="ADDITIONAL INFO / WIRE INSTRUCTIONS"/>
    <tableColumn id="14" xr3:uid="{4C526C61-6243-40E3-B639-6035B3E25118}" name="Benificery 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F847-BF26-4C59-88F6-E8FA73BFA82E}">
  <dimension ref="A1:A4"/>
  <sheetViews>
    <sheetView workbookViewId="0">
      <selection activeCell="A4" sqref="A4"/>
    </sheetView>
  </sheetViews>
  <sheetFormatPr defaultRowHeight="14.4" x14ac:dyDescent="0.3"/>
  <cols>
    <col min="1" max="1" width="25.109375" bestFit="1" customWidth="1"/>
  </cols>
  <sheetData>
    <row r="1" spans="1:1" x14ac:dyDescent="0.3">
      <c r="A1" t="s">
        <v>2</v>
      </c>
    </row>
    <row r="2" spans="1:1" x14ac:dyDescent="0.3">
      <c r="A2" s="1" t="s">
        <v>95</v>
      </c>
    </row>
    <row r="3" spans="1:1" x14ac:dyDescent="0.3">
      <c r="A3" s="1" t="s">
        <v>105</v>
      </c>
    </row>
    <row r="4" spans="1:1" x14ac:dyDescent="0.3">
      <c r="A4" s="1" t="s">
        <v>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9B52-9B8D-4687-8619-1499C3F3058E}">
  <dimension ref="A2:G16"/>
  <sheetViews>
    <sheetView tabSelected="1" workbookViewId="0">
      <selection activeCell="I16" sqref="I1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12.21875" bestFit="1" customWidth="1"/>
    <col min="4" max="4" width="19.6640625" bestFit="1" customWidth="1"/>
    <col min="5" max="5" width="17" bestFit="1" customWidth="1"/>
    <col min="6" max="6" width="22.5546875" bestFit="1" customWidth="1"/>
    <col min="7" max="8" width="10.5546875" bestFit="1" customWidth="1"/>
    <col min="9" max="9" width="19.21875" bestFit="1" customWidth="1"/>
  </cols>
  <sheetData>
    <row r="2" spans="1:7" x14ac:dyDescent="0.3">
      <c r="A2" s="5" t="s">
        <v>102</v>
      </c>
      <c r="B2" t="s">
        <v>112</v>
      </c>
    </row>
    <row r="4" spans="1:7" x14ac:dyDescent="0.3">
      <c r="A4" s="5" t="s">
        <v>111</v>
      </c>
      <c r="B4" s="5" t="s">
        <v>110</v>
      </c>
    </row>
    <row r="5" spans="1:7" x14ac:dyDescent="0.3">
      <c r="B5" t="s">
        <v>109</v>
      </c>
      <c r="C5" t="s">
        <v>113</v>
      </c>
      <c r="D5" t="s">
        <v>106</v>
      </c>
      <c r="F5" t="s">
        <v>114</v>
      </c>
      <c r="G5" t="s">
        <v>101</v>
      </c>
    </row>
    <row r="6" spans="1:7" x14ac:dyDescent="0.3">
      <c r="A6" s="5" t="s">
        <v>100</v>
      </c>
      <c r="B6" t="s">
        <v>108</v>
      </c>
      <c r="D6" t="s">
        <v>95</v>
      </c>
      <c r="E6" t="s">
        <v>105</v>
      </c>
    </row>
    <row r="7" spans="1:7" x14ac:dyDescent="0.3">
      <c r="A7" s="6" t="s">
        <v>95</v>
      </c>
      <c r="B7" s="1">
        <v>66191.799999999988</v>
      </c>
      <c r="C7" s="1">
        <v>66191.799999999988</v>
      </c>
      <c r="D7" s="1">
        <v>2323.5</v>
      </c>
      <c r="E7" s="1">
        <v>5393.25</v>
      </c>
      <c r="F7" s="1">
        <v>7716.75</v>
      </c>
      <c r="G7" s="1">
        <v>73908.549999999988</v>
      </c>
    </row>
    <row r="8" spans="1:7" x14ac:dyDescent="0.3">
      <c r="A8" s="10" t="s">
        <v>29</v>
      </c>
      <c r="B8" s="1">
        <v>31500</v>
      </c>
      <c r="C8" s="1">
        <v>31500</v>
      </c>
      <c r="D8" s="1"/>
      <c r="E8" s="1">
        <v>3500</v>
      </c>
      <c r="F8" s="1">
        <v>3500</v>
      </c>
      <c r="G8" s="1">
        <v>35000</v>
      </c>
    </row>
    <row r="9" spans="1:7" x14ac:dyDescent="0.3">
      <c r="A9" s="10" t="s">
        <v>14</v>
      </c>
      <c r="B9" s="1">
        <v>34691.799999999996</v>
      </c>
      <c r="C9" s="1">
        <v>34691.799999999996</v>
      </c>
      <c r="D9" s="1">
        <v>2323.5</v>
      </c>
      <c r="E9" s="1">
        <v>1893.25</v>
      </c>
      <c r="F9" s="1">
        <v>4216.75</v>
      </c>
      <c r="G9" s="1">
        <v>38908.549999999996</v>
      </c>
    </row>
    <row r="10" spans="1:7" x14ac:dyDescent="0.3">
      <c r="A10" s="6" t="s">
        <v>107</v>
      </c>
      <c r="B10" s="1">
        <v>13026.14</v>
      </c>
      <c r="C10" s="1">
        <v>13026.14</v>
      </c>
      <c r="D10" s="1">
        <v>3500</v>
      </c>
      <c r="E10" s="1"/>
      <c r="F10" s="1">
        <v>3500</v>
      </c>
      <c r="G10" s="1">
        <v>16526.14</v>
      </c>
    </row>
    <row r="11" spans="1:7" x14ac:dyDescent="0.3">
      <c r="A11" s="10" t="s">
        <v>29</v>
      </c>
      <c r="B11" s="1">
        <v>7500</v>
      </c>
      <c r="C11" s="1">
        <v>7500</v>
      </c>
      <c r="D11" s="1">
        <v>3500</v>
      </c>
      <c r="E11" s="1"/>
      <c r="F11" s="1">
        <v>3500</v>
      </c>
      <c r="G11" s="1">
        <v>11000</v>
      </c>
    </row>
    <row r="12" spans="1:7" x14ac:dyDescent="0.3">
      <c r="A12" s="10" t="s">
        <v>14</v>
      </c>
      <c r="B12" s="1">
        <v>5526.1399999999994</v>
      </c>
      <c r="C12" s="1">
        <v>5526.1399999999994</v>
      </c>
      <c r="D12" s="1"/>
      <c r="E12" s="1"/>
      <c r="F12" s="1"/>
      <c r="G12" s="1">
        <v>5526.1399999999994</v>
      </c>
    </row>
    <row r="13" spans="1:7" x14ac:dyDescent="0.3">
      <c r="A13" s="6" t="s">
        <v>105</v>
      </c>
      <c r="B13" s="1"/>
      <c r="C13" s="1"/>
      <c r="D13" s="1">
        <v>5297.49</v>
      </c>
      <c r="E13" s="1"/>
      <c r="F13" s="1">
        <v>5297.49</v>
      </c>
      <c r="G13" s="1">
        <v>5297.49</v>
      </c>
    </row>
    <row r="14" spans="1:7" x14ac:dyDescent="0.3">
      <c r="A14" s="10" t="s">
        <v>29</v>
      </c>
      <c r="B14" s="1"/>
      <c r="C14" s="1"/>
      <c r="D14" s="1">
        <v>3500</v>
      </c>
      <c r="E14" s="1"/>
      <c r="F14" s="1">
        <v>3500</v>
      </c>
      <c r="G14" s="1">
        <v>3500</v>
      </c>
    </row>
    <row r="15" spans="1:7" x14ac:dyDescent="0.3">
      <c r="A15" s="10" t="s">
        <v>14</v>
      </c>
      <c r="B15" s="1"/>
      <c r="C15" s="1"/>
      <c r="D15" s="1">
        <v>1797.49</v>
      </c>
      <c r="E15" s="1"/>
      <c r="F15" s="1">
        <v>1797.49</v>
      </c>
      <c r="G15" s="1">
        <v>1797.49</v>
      </c>
    </row>
    <row r="16" spans="1:7" x14ac:dyDescent="0.3">
      <c r="A16" s="6" t="s">
        <v>101</v>
      </c>
      <c r="B16" s="1">
        <v>79217.94</v>
      </c>
      <c r="C16" s="1">
        <v>79217.94</v>
      </c>
      <c r="D16" s="1">
        <v>11120.99</v>
      </c>
      <c r="E16" s="1">
        <v>5393.25</v>
      </c>
      <c r="F16" s="1">
        <v>16514.240000000002</v>
      </c>
      <c r="G16" s="1">
        <v>95732.180000000008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27FC-42FB-4DDF-916B-3F24E9BF7662}">
  <dimension ref="A1:F116"/>
  <sheetViews>
    <sheetView topLeftCell="A2" workbookViewId="0">
      <selection activeCell="C7" sqref="A2:F116"/>
    </sheetView>
  </sheetViews>
  <sheetFormatPr defaultRowHeight="14.4" x14ac:dyDescent="0.3"/>
  <cols>
    <col min="1" max="1" width="25.109375" bestFit="1" customWidth="1"/>
    <col min="2" max="2" width="18.77734375" bestFit="1" customWidth="1"/>
    <col min="3" max="3" width="15.44140625" bestFit="1" customWidth="1"/>
    <col min="4" max="4" width="20.44140625" bestFit="1" customWidth="1"/>
    <col min="5" max="5" width="10.77734375" customWidth="1"/>
    <col min="6" max="6" width="17.33203125" bestFit="1" customWidth="1"/>
    <col min="7" max="7" width="25.109375" bestFit="1" customWidth="1"/>
    <col min="8" max="8" width="10.6640625" bestFit="1" customWidth="1"/>
    <col min="9" max="9" width="10.5546875" bestFit="1" customWidth="1"/>
    <col min="10" max="10" width="15.44140625" bestFit="1" customWidth="1"/>
    <col min="11" max="11" width="20.44140625" bestFit="1" customWidth="1"/>
    <col min="12" max="12" width="30.109375" bestFit="1" customWidth="1"/>
    <col min="13" max="13" width="19.77734375" bestFit="1" customWidth="1"/>
    <col min="14" max="14" width="22.6640625" bestFit="1" customWidth="1"/>
    <col min="15" max="15" width="17.88671875" bestFit="1" customWidth="1"/>
    <col min="16" max="16" width="22.6640625" bestFit="1" customWidth="1"/>
    <col min="17" max="17" width="37.33203125" bestFit="1" customWidth="1"/>
    <col min="18" max="18" width="18.77734375" bestFit="1" customWidth="1"/>
  </cols>
  <sheetData>
    <row r="1" spans="1:6" x14ac:dyDescent="0.3">
      <c r="A1" t="s">
        <v>2</v>
      </c>
      <c r="B1" t="s">
        <v>98</v>
      </c>
      <c r="C1" t="s">
        <v>5</v>
      </c>
      <c r="D1" t="s">
        <v>102</v>
      </c>
      <c r="E1" t="s">
        <v>103</v>
      </c>
      <c r="F1" t="s">
        <v>104</v>
      </c>
    </row>
    <row r="2" spans="1:6" x14ac:dyDescent="0.3">
      <c r="A2" s="1" t="s">
        <v>95</v>
      </c>
      <c r="B2" s="1" t="s">
        <v>105</v>
      </c>
      <c r="C2" s="1" t="s">
        <v>14</v>
      </c>
      <c r="D2" s="9">
        <v>45427</v>
      </c>
      <c r="E2">
        <v>340</v>
      </c>
      <c r="F2" t="s">
        <v>106</v>
      </c>
    </row>
    <row r="3" spans="1:6" x14ac:dyDescent="0.3">
      <c r="A3" s="1" t="s">
        <v>95</v>
      </c>
      <c r="B3" s="1" t="s">
        <v>105</v>
      </c>
      <c r="C3" s="1" t="s">
        <v>14</v>
      </c>
      <c r="D3" s="9">
        <v>45428</v>
      </c>
      <c r="E3">
        <v>98.75</v>
      </c>
      <c r="F3" t="s">
        <v>106</v>
      </c>
    </row>
    <row r="4" spans="1:6" x14ac:dyDescent="0.3">
      <c r="A4" s="1" t="s">
        <v>95</v>
      </c>
      <c r="B4" s="1" t="s">
        <v>105</v>
      </c>
      <c r="C4" s="1" t="s">
        <v>14</v>
      </c>
      <c r="D4" s="9">
        <v>45429</v>
      </c>
      <c r="E4">
        <v>450</v>
      </c>
      <c r="F4" t="s">
        <v>106</v>
      </c>
    </row>
    <row r="5" spans="1:6" x14ac:dyDescent="0.3">
      <c r="A5" s="1" t="s">
        <v>95</v>
      </c>
      <c r="B5" s="1" t="s">
        <v>105</v>
      </c>
      <c r="C5" s="1" t="s">
        <v>14</v>
      </c>
      <c r="D5" s="9">
        <v>45430</v>
      </c>
      <c r="E5">
        <v>89</v>
      </c>
      <c r="F5" t="s">
        <v>106</v>
      </c>
    </row>
    <row r="6" spans="1:6" x14ac:dyDescent="0.3">
      <c r="A6" s="1" t="s">
        <v>95</v>
      </c>
      <c r="B6" s="1" t="s">
        <v>105</v>
      </c>
      <c r="C6" s="1" t="s">
        <v>14</v>
      </c>
      <c r="D6" s="9">
        <v>45431</v>
      </c>
      <c r="E6">
        <v>235.5</v>
      </c>
      <c r="F6" t="s">
        <v>106</v>
      </c>
    </row>
    <row r="7" spans="1:6" x14ac:dyDescent="0.3">
      <c r="A7" s="1" t="s">
        <v>95</v>
      </c>
      <c r="B7" s="1" t="s">
        <v>105</v>
      </c>
      <c r="C7" s="1" t="s">
        <v>29</v>
      </c>
      <c r="D7" s="9">
        <v>45437</v>
      </c>
      <c r="E7">
        <v>3500</v>
      </c>
      <c r="F7" t="s">
        <v>106</v>
      </c>
    </row>
    <row r="8" spans="1:6" x14ac:dyDescent="0.3">
      <c r="A8" s="1" t="s">
        <v>95</v>
      </c>
      <c r="B8" s="1" t="s">
        <v>105</v>
      </c>
      <c r="C8" s="1" t="s">
        <v>14</v>
      </c>
      <c r="D8" s="9">
        <v>45437</v>
      </c>
      <c r="E8">
        <v>680</v>
      </c>
      <c r="F8" t="s">
        <v>106</v>
      </c>
    </row>
    <row r="9" spans="1:6" x14ac:dyDescent="0.3">
      <c r="A9" s="1" t="s">
        <v>95</v>
      </c>
      <c r="B9" s="1" t="s">
        <v>95</v>
      </c>
      <c r="C9" s="1" t="s">
        <v>14</v>
      </c>
      <c r="D9" s="9">
        <v>45439</v>
      </c>
      <c r="E9">
        <v>2100</v>
      </c>
      <c r="F9" t="s">
        <v>106</v>
      </c>
    </row>
    <row r="10" spans="1:6" x14ac:dyDescent="0.3">
      <c r="A10" s="1" t="s">
        <v>95</v>
      </c>
      <c r="B10" s="1" t="s">
        <v>95</v>
      </c>
      <c r="C10" s="1" t="s">
        <v>14</v>
      </c>
      <c r="D10" s="9">
        <v>45440</v>
      </c>
      <c r="E10">
        <v>145</v>
      </c>
      <c r="F10" t="s">
        <v>106</v>
      </c>
    </row>
    <row r="11" spans="1:6" x14ac:dyDescent="0.3">
      <c r="A11" s="1" t="s">
        <v>95</v>
      </c>
      <c r="B11" s="1" t="s">
        <v>95</v>
      </c>
      <c r="C11" s="1" t="s">
        <v>14</v>
      </c>
      <c r="D11" s="9">
        <v>45441</v>
      </c>
      <c r="E11">
        <v>78.5</v>
      </c>
      <c r="F11" t="s">
        <v>106</v>
      </c>
    </row>
    <row r="12" spans="1:6" x14ac:dyDescent="0.3">
      <c r="A12" s="1" t="s">
        <v>105</v>
      </c>
      <c r="B12" s="1" t="s">
        <v>95</v>
      </c>
      <c r="C12" s="1" t="s">
        <v>29</v>
      </c>
      <c r="D12" s="9">
        <v>45448</v>
      </c>
      <c r="E12">
        <v>3500</v>
      </c>
      <c r="F12" t="s">
        <v>106</v>
      </c>
    </row>
    <row r="13" spans="1:6" x14ac:dyDescent="0.3">
      <c r="A13" s="1" t="s">
        <v>105</v>
      </c>
      <c r="B13" s="1" t="s">
        <v>95</v>
      </c>
      <c r="C13" s="1" t="s">
        <v>14</v>
      </c>
      <c r="D13" s="9">
        <v>45448</v>
      </c>
      <c r="E13">
        <v>295</v>
      </c>
      <c r="F13" t="s">
        <v>106</v>
      </c>
    </row>
    <row r="14" spans="1:6" x14ac:dyDescent="0.3">
      <c r="A14" s="1" t="s">
        <v>105</v>
      </c>
      <c r="B14" s="1" t="s">
        <v>95</v>
      </c>
      <c r="C14" s="1" t="s">
        <v>14</v>
      </c>
      <c r="D14" s="9">
        <v>45449</v>
      </c>
      <c r="E14">
        <v>125</v>
      </c>
      <c r="F14" t="s">
        <v>106</v>
      </c>
    </row>
    <row r="15" spans="1:6" x14ac:dyDescent="0.3">
      <c r="A15" s="1" t="s">
        <v>105</v>
      </c>
      <c r="B15" s="1" t="s">
        <v>95</v>
      </c>
      <c r="C15" s="1" t="s">
        <v>14</v>
      </c>
      <c r="D15" s="9">
        <v>45450</v>
      </c>
      <c r="E15">
        <v>1050</v>
      </c>
      <c r="F15" t="s">
        <v>106</v>
      </c>
    </row>
    <row r="16" spans="1:6" x14ac:dyDescent="0.3">
      <c r="A16" s="1" t="s">
        <v>105</v>
      </c>
      <c r="B16" s="1" t="s">
        <v>95</v>
      </c>
      <c r="C16" s="1" t="s">
        <v>14</v>
      </c>
      <c r="D16" s="9">
        <v>45451</v>
      </c>
      <c r="E16">
        <v>42.5</v>
      </c>
      <c r="F16" t="s">
        <v>106</v>
      </c>
    </row>
    <row r="17" spans="1:6" x14ac:dyDescent="0.3">
      <c r="A17" s="1" t="s">
        <v>105</v>
      </c>
      <c r="B17" s="1" t="s">
        <v>95</v>
      </c>
      <c r="C17" s="1" t="s">
        <v>14</v>
      </c>
      <c r="D17" s="9">
        <v>45452</v>
      </c>
      <c r="E17">
        <v>189.99</v>
      </c>
      <c r="F17" t="s">
        <v>106</v>
      </c>
    </row>
    <row r="18" spans="1:6" x14ac:dyDescent="0.3">
      <c r="A18" s="1" t="s">
        <v>105</v>
      </c>
      <c r="B18" s="1" t="s">
        <v>95</v>
      </c>
      <c r="C18" s="1" t="s">
        <v>14</v>
      </c>
      <c r="D18" s="9">
        <v>45453</v>
      </c>
      <c r="E18">
        <v>95</v>
      </c>
      <c r="F18" t="s">
        <v>106</v>
      </c>
    </row>
    <row r="19" spans="1:6" x14ac:dyDescent="0.3">
      <c r="A19" s="1" t="s">
        <v>107</v>
      </c>
      <c r="B19" s="1" t="s">
        <v>95</v>
      </c>
      <c r="C19" s="1" t="s">
        <v>29</v>
      </c>
      <c r="D19" s="9">
        <v>45458</v>
      </c>
      <c r="E19">
        <v>3500</v>
      </c>
      <c r="F19" t="s">
        <v>106</v>
      </c>
    </row>
    <row r="20" spans="1:6" x14ac:dyDescent="0.3">
      <c r="A20" s="1" t="s">
        <v>107</v>
      </c>
      <c r="B20" s="1" t="s">
        <v>108</v>
      </c>
      <c r="C20" s="1" t="s">
        <v>14</v>
      </c>
      <c r="D20" s="9">
        <v>45458</v>
      </c>
      <c r="E20">
        <v>450</v>
      </c>
      <c r="F20" t="s">
        <v>109</v>
      </c>
    </row>
    <row r="21" spans="1:6" x14ac:dyDescent="0.3">
      <c r="A21" s="1" t="s">
        <v>107</v>
      </c>
      <c r="B21" s="1" t="s">
        <v>108</v>
      </c>
      <c r="C21" s="1" t="s">
        <v>14</v>
      </c>
      <c r="D21" s="9">
        <v>45459</v>
      </c>
      <c r="E21">
        <v>67.900000000000006</v>
      </c>
      <c r="F21" t="s">
        <v>109</v>
      </c>
    </row>
    <row r="22" spans="1:6" x14ac:dyDescent="0.3">
      <c r="A22" s="1" t="s">
        <v>107</v>
      </c>
      <c r="B22" s="1" t="s">
        <v>108</v>
      </c>
      <c r="C22" s="1" t="s">
        <v>14</v>
      </c>
      <c r="D22" s="9">
        <v>45460</v>
      </c>
      <c r="E22">
        <v>225</v>
      </c>
      <c r="F22" t="s">
        <v>109</v>
      </c>
    </row>
    <row r="23" spans="1:6" x14ac:dyDescent="0.3">
      <c r="A23" s="1" t="s">
        <v>107</v>
      </c>
      <c r="B23" s="1" t="s">
        <v>108</v>
      </c>
      <c r="C23" s="1" t="s">
        <v>14</v>
      </c>
      <c r="D23" s="9">
        <v>45461</v>
      </c>
      <c r="E23">
        <v>89.99</v>
      </c>
      <c r="F23" t="s">
        <v>109</v>
      </c>
    </row>
    <row r="24" spans="1:6" x14ac:dyDescent="0.3">
      <c r="A24" s="1" t="s">
        <v>107</v>
      </c>
      <c r="B24" s="1" t="s">
        <v>108</v>
      </c>
      <c r="C24" s="1" t="s">
        <v>29</v>
      </c>
      <c r="D24" s="9">
        <v>45462</v>
      </c>
      <c r="E24">
        <v>500</v>
      </c>
      <c r="F24" t="s">
        <v>109</v>
      </c>
    </row>
    <row r="25" spans="1:6" x14ac:dyDescent="0.3">
      <c r="A25" s="1" t="s">
        <v>107</v>
      </c>
      <c r="B25" s="1" t="s">
        <v>108</v>
      </c>
      <c r="C25" s="1" t="s">
        <v>29</v>
      </c>
      <c r="D25" s="9">
        <v>45468</v>
      </c>
      <c r="E25">
        <v>3500</v>
      </c>
      <c r="F25" t="s">
        <v>109</v>
      </c>
    </row>
    <row r="26" spans="1:6" x14ac:dyDescent="0.3">
      <c r="A26" s="1" t="s">
        <v>107</v>
      </c>
      <c r="B26" s="1" t="s">
        <v>108</v>
      </c>
      <c r="C26" s="1" t="s">
        <v>14</v>
      </c>
      <c r="D26" s="9">
        <v>45468</v>
      </c>
      <c r="E26">
        <v>785</v>
      </c>
      <c r="F26" t="s">
        <v>109</v>
      </c>
    </row>
    <row r="27" spans="1:6" x14ac:dyDescent="0.3">
      <c r="A27" s="1" t="s">
        <v>107</v>
      </c>
      <c r="B27" s="1" t="s">
        <v>108</v>
      </c>
      <c r="C27" s="1" t="s">
        <v>14</v>
      </c>
      <c r="D27" s="9">
        <v>45470</v>
      </c>
      <c r="E27">
        <v>2100</v>
      </c>
      <c r="F27" t="s">
        <v>109</v>
      </c>
    </row>
    <row r="28" spans="1:6" x14ac:dyDescent="0.3">
      <c r="A28" s="1" t="s">
        <v>107</v>
      </c>
      <c r="B28" s="1" t="s">
        <v>108</v>
      </c>
      <c r="C28" s="1" t="s">
        <v>14</v>
      </c>
      <c r="D28" s="9">
        <v>45471</v>
      </c>
      <c r="E28">
        <v>125</v>
      </c>
      <c r="F28" t="s">
        <v>109</v>
      </c>
    </row>
    <row r="29" spans="1:6" x14ac:dyDescent="0.3">
      <c r="A29" s="1" t="s">
        <v>107</v>
      </c>
      <c r="B29" s="1" t="s">
        <v>108</v>
      </c>
      <c r="C29" s="1" t="s">
        <v>14</v>
      </c>
      <c r="D29" s="9">
        <v>45472</v>
      </c>
      <c r="E29">
        <v>98.5</v>
      </c>
      <c r="F29" t="s">
        <v>109</v>
      </c>
    </row>
    <row r="30" spans="1:6" x14ac:dyDescent="0.3">
      <c r="A30" s="1" t="s">
        <v>107</v>
      </c>
      <c r="B30" s="1" t="s">
        <v>108</v>
      </c>
      <c r="C30" s="1" t="s">
        <v>29</v>
      </c>
      <c r="D30" s="9">
        <v>45478</v>
      </c>
      <c r="E30">
        <v>3500</v>
      </c>
      <c r="F30" t="s">
        <v>109</v>
      </c>
    </row>
    <row r="31" spans="1:6" x14ac:dyDescent="0.3">
      <c r="A31" s="1" t="s">
        <v>107</v>
      </c>
      <c r="B31" s="1" t="s">
        <v>108</v>
      </c>
      <c r="C31" s="1" t="s">
        <v>14</v>
      </c>
      <c r="D31" s="9">
        <v>45478</v>
      </c>
      <c r="E31">
        <v>345</v>
      </c>
      <c r="F31" t="s">
        <v>109</v>
      </c>
    </row>
    <row r="32" spans="1:6" x14ac:dyDescent="0.3">
      <c r="A32" s="1" t="s">
        <v>107</v>
      </c>
      <c r="B32" s="1" t="s">
        <v>108</v>
      </c>
      <c r="C32" s="1" t="s">
        <v>14</v>
      </c>
      <c r="D32" s="9">
        <v>45479</v>
      </c>
      <c r="E32">
        <v>89.75</v>
      </c>
      <c r="F32" t="s">
        <v>109</v>
      </c>
    </row>
    <row r="33" spans="1:6" x14ac:dyDescent="0.3">
      <c r="A33" s="1" t="s">
        <v>107</v>
      </c>
      <c r="B33" s="1" t="s">
        <v>108</v>
      </c>
      <c r="C33" s="1" t="s">
        <v>14</v>
      </c>
      <c r="D33" s="9">
        <v>45480</v>
      </c>
      <c r="E33">
        <v>1150</v>
      </c>
      <c r="F33" t="s">
        <v>109</v>
      </c>
    </row>
    <row r="34" spans="1:6" x14ac:dyDescent="0.3">
      <c r="A34" s="1" t="s">
        <v>95</v>
      </c>
      <c r="B34" s="1" t="s">
        <v>108</v>
      </c>
      <c r="C34" s="1" t="s">
        <v>14</v>
      </c>
      <c r="D34" s="9">
        <v>45481</v>
      </c>
      <c r="E34">
        <v>56</v>
      </c>
      <c r="F34" t="s">
        <v>109</v>
      </c>
    </row>
    <row r="35" spans="1:6" x14ac:dyDescent="0.3">
      <c r="A35" s="1" t="s">
        <v>95</v>
      </c>
      <c r="B35" s="1" t="s">
        <v>108</v>
      </c>
      <c r="C35" s="1" t="s">
        <v>14</v>
      </c>
      <c r="D35" s="9">
        <v>45482</v>
      </c>
      <c r="E35">
        <v>175</v>
      </c>
      <c r="F35" t="s">
        <v>109</v>
      </c>
    </row>
    <row r="36" spans="1:6" x14ac:dyDescent="0.3">
      <c r="A36" s="1" t="s">
        <v>95</v>
      </c>
      <c r="B36" s="1" t="s">
        <v>108</v>
      </c>
      <c r="C36" s="1" t="s">
        <v>14</v>
      </c>
      <c r="D36" s="9">
        <v>45483</v>
      </c>
      <c r="E36">
        <v>125</v>
      </c>
      <c r="F36" t="s">
        <v>109</v>
      </c>
    </row>
    <row r="37" spans="1:6" x14ac:dyDescent="0.3">
      <c r="A37" s="1" t="s">
        <v>95</v>
      </c>
      <c r="B37" s="1" t="s">
        <v>108</v>
      </c>
      <c r="C37" s="1" t="s">
        <v>29</v>
      </c>
      <c r="D37" s="9">
        <v>45488</v>
      </c>
      <c r="E37">
        <v>3500</v>
      </c>
      <c r="F37" t="s">
        <v>109</v>
      </c>
    </row>
    <row r="38" spans="1:6" x14ac:dyDescent="0.3">
      <c r="A38" s="1" t="s">
        <v>95</v>
      </c>
      <c r="B38" s="1" t="s">
        <v>108</v>
      </c>
      <c r="C38" s="1" t="s">
        <v>14</v>
      </c>
      <c r="D38" s="9">
        <v>45488</v>
      </c>
      <c r="E38">
        <v>520</v>
      </c>
      <c r="F38" t="s">
        <v>109</v>
      </c>
    </row>
    <row r="39" spans="1:6" x14ac:dyDescent="0.3">
      <c r="A39" s="1" t="s">
        <v>95</v>
      </c>
      <c r="B39" s="1" t="s">
        <v>108</v>
      </c>
      <c r="C39" s="1" t="s">
        <v>14</v>
      </c>
      <c r="D39" s="9">
        <v>45489</v>
      </c>
      <c r="E39">
        <v>95.5</v>
      </c>
      <c r="F39" t="s">
        <v>109</v>
      </c>
    </row>
    <row r="40" spans="1:6" x14ac:dyDescent="0.3">
      <c r="A40" s="1" t="s">
        <v>95</v>
      </c>
      <c r="B40" s="1" t="s">
        <v>108</v>
      </c>
      <c r="C40" s="1" t="s">
        <v>14</v>
      </c>
      <c r="D40" s="9">
        <v>45490</v>
      </c>
      <c r="E40">
        <v>450</v>
      </c>
      <c r="F40" t="s">
        <v>109</v>
      </c>
    </row>
    <row r="41" spans="1:6" x14ac:dyDescent="0.3">
      <c r="A41" s="1" t="s">
        <v>95</v>
      </c>
      <c r="B41" s="1" t="s">
        <v>108</v>
      </c>
      <c r="C41" s="1" t="s">
        <v>14</v>
      </c>
      <c r="D41" s="9">
        <v>45491</v>
      </c>
      <c r="E41">
        <v>78</v>
      </c>
      <c r="F41" t="s">
        <v>109</v>
      </c>
    </row>
    <row r="42" spans="1:6" x14ac:dyDescent="0.3">
      <c r="A42" s="1" t="s">
        <v>95</v>
      </c>
      <c r="B42" s="1" t="s">
        <v>108</v>
      </c>
      <c r="C42" s="1" t="s">
        <v>14</v>
      </c>
      <c r="D42" s="9">
        <v>45492</v>
      </c>
      <c r="E42">
        <v>189.5</v>
      </c>
      <c r="F42" t="s">
        <v>109</v>
      </c>
    </row>
    <row r="43" spans="1:6" x14ac:dyDescent="0.3">
      <c r="A43" s="1" t="s">
        <v>95</v>
      </c>
      <c r="B43" s="1" t="s">
        <v>108</v>
      </c>
      <c r="C43" s="1" t="s">
        <v>29</v>
      </c>
      <c r="D43" s="9">
        <v>45498</v>
      </c>
      <c r="E43">
        <v>3500</v>
      </c>
      <c r="F43" t="s">
        <v>109</v>
      </c>
    </row>
    <row r="44" spans="1:6" x14ac:dyDescent="0.3">
      <c r="A44" s="1" t="s">
        <v>95</v>
      </c>
      <c r="B44" s="1" t="s">
        <v>108</v>
      </c>
      <c r="C44" s="1" t="s">
        <v>14</v>
      </c>
      <c r="D44" s="9">
        <v>45498</v>
      </c>
      <c r="E44">
        <v>650</v>
      </c>
      <c r="F44" t="s">
        <v>109</v>
      </c>
    </row>
    <row r="45" spans="1:6" x14ac:dyDescent="0.3">
      <c r="A45" s="1" t="s">
        <v>95</v>
      </c>
      <c r="B45" s="1" t="s">
        <v>108</v>
      </c>
      <c r="C45" s="1" t="s">
        <v>14</v>
      </c>
      <c r="D45" s="9">
        <v>45500</v>
      </c>
      <c r="E45">
        <v>2100</v>
      </c>
      <c r="F45" t="s">
        <v>109</v>
      </c>
    </row>
    <row r="46" spans="1:6" x14ac:dyDescent="0.3">
      <c r="A46" s="1" t="s">
        <v>95</v>
      </c>
      <c r="B46" s="1" t="s">
        <v>108</v>
      </c>
      <c r="C46" s="1" t="s">
        <v>14</v>
      </c>
      <c r="D46" s="9">
        <v>45501</v>
      </c>
      <c r="E46">
        <v>145</v>
      </c>
      <c r="F46" t="s">
        <v>109</v>
      </c>
    </row>
    <row r="47" spans="1:6" x14ac:dyDescent="0.3">
      <c r="A47" s="1" t="s">
        <v>95</v>
      </c>
      <c r="B47" s="1" t="s">
        <v>108</v>
      </c>
      <c r="C47" s="1" t="s">
        <v>14</v>
      </c>
      <c r="D47" s="9">
        <v>45502</v>
      </c>
      <c r="E47">
        <v>67.8</v>
      </c>
      <c r="F47" t="s">
        <v>109</v>
      </c>
    </row>
    <row r="48" spans="1:6" x14ac:dyDescent="0.3">
      <c r="A48" s="1" t="s">
        <v>95</v>
      </c>
      <c r="B48" s="1" t="s">
        <v>108</v>
      </c>
      <c r="C48" s="1" t="s">
        <v>29</v>
      </c>
      <c r="D48" s="9">
        <v>45509</v>
      </c>
      <c r="E48">
        <v>3500</v>
      </c>
      <c r="F48" t="s">
        <v>109</v>
      </c>
    </row>
    <row r="49" spans="1:6" x14ac:dyDescent="0.3">
      <c r="A49" s="1" t="s">
        <v>95</v>
      </c>
      <c r="B49" s="1" t="s">
        <v>108</v>
      </c>
      <c r="C49" s="1" t="s">
        <v>14</v>
      </c>
      <c r="D49" s="9">
        <v>45509</v>
      </c>
      <c r="E49">
        <v>275</v>
      </c>
      <c r="F49" t="s">
        <v>109</v>
      </c>
    </row>
    <row r="50" spans="1:6" x14ac:dyDescent="0.3">
      <c r="A50" s="1" t="s">
        <v>95</v>
      </c>
      <c r="B50" s="1" t="s">
        <v>108</v>
      </c>
      <c r="C50" s="1" t="s">
        <v>14</v>
      </c>
      <c r="D50" s="9">
        <v>45510</v>
      </c>
      <c r="E50">
        <v>125</v>
      </c>
      <c r="F50" t="s">
        <v>109</v>
      </c>
    </row>
    <row r="51" spans="1:6" x14ac:dyDescent="0.3">
      <c r="A51" s="1" t="s">
        <v>95</v>
      </c>
      <c r="B51" s="1" t="s">
        <v>108</v>
      </c>
      <c r="C51" s="1" t="s">
        <v>14</v>
      </c>
      <c r="D51" s="9">
        <v>45511</v>
      </c>
      <c r="E51">
        <v>950</v>
      </c>
      <c r="F51" t="s">
        <v>109</v>
      </c>
    </row>
    <row r="52" spans="1:6" x14ac:dyDescent="0.3">
      <c r="A52" s="1" t="s">
        <v>95</v>
      </c>
      <c r="B52" s="1" t="s">
        <v>108</v>
      </c>
      <c r="C52" s="1" t="s">
        <v>14</v>
      </c>
      <c r="D52" s="9">
        <v>45512</v>
      </c>
      <c r="E52">
        <v>45</v>
      </c>
      <c r="F52" t="s">
        <v>109</v>
      </c>
    </row>
    <row r="53" spans="1:6" x14ac:dyDescent="0.3">
      <c r="A53" s="1" t="s">
        <v>95</v>
      </c>
      <c r="B53" s="1" t="s">
        <v>108</v>
      </c>
      <c r="C53" s="1" t="s">
        <v>14</v>
      </c>
      <c r="D53" s="9">
        <v>45513</v>
      </c>
      <c r="E53">
        <v>199.99</v>
      </c>
      <c r="F53" t="s">
        <v>109</v>
      </c>
    </row>
    <row r="54" spans="1:6" x14ac:dyDescent="0.3">
      <c r="A54" s="1" t="s">
        <v>95</v>
      </c>
      <c r="B54" s="1" t="s">
        <v>108</v>
      </c>
      <c r="C54" s="1" t="s">
        <v>14</v>
      </c>
      <c r="D54" s="9">
        <v>45514</v>
      </c>
      <c r="E54">
        <v>89</v>
      </c>
      <c r="F54" t="s">
        <v>109</v>
      </c>
    </row>
    <row r="55" spans="1:6" x14ac:dyDescent="0.3">
      <c r="A55" s="1" t="s">
        <v>95</v>
      </c>
      <c r="B55" s="1" t="s">
        <v>108</v>
      </c>
      <c r="C55" s="1" t="s">
        <v>29</v>
      </c>
      <c r="D55" s="9">
        <v>45519</v>
      </c>
      <c r="E55">
        <v>3500</v>
      </c>
      <c r="F55" t="s">
        <v>109</v>
      </c>
    </row>
    <row r="56" spans="1:6" x14ac:dyDescent="0.3">
      <c r="A56" s="1" t="s">
        <v>95</v>
      </c>
      <c r="B56" s="1" t="s">
        <v>108</v>
      </c>
      <c r="C56" s="1" t="s">
        <v>14</v>
      </c>
      <c r="D56" s="9">
        <v>45519</v>
      </c>
      <c r="E56">
        <v>425</v>
      </c>
      <c r="F56" t="s">
        <v>109</v>
      </c>
    </row>
    <row r="57" spans="1:6" x14ac:dyDescent="0.3">
      <c r="A57" s="1" t="s">
        <v>95</v>
      </c>
      <c r="B57" s="1" t="s">
        <v>108</v>
      </c>
      <c r="C57" s="1" t="s">
        <v>14</v>
      </c>
      <c r="D57" s="9">
        <v>45520</v>
      </c>
      <c r="E57">
        <v>78.900000000000006</v>
      </c>
      <c r="F57" t="s">
        <v>109</v>
      </c>
    </row>
    <row r="58" spans="1:6" x14ac:dyDescent="0.3">
      <c r="A58" s="1" t="s">
        <v>95</v>
      </c>
      <c r="B58" s="1" t="s">
        <v>108</v>
      </c>
      <c r="C58" s="1" t="s">
        <v>14</v>
      </c>
      <c r="D58" s="9">
        <v>45521</v>
      </c>
      <c r="E58">
        <v>200</v>
      </c>
      <c r="F58" t="s">
        <v>109</v>
      </c>
    </row>
    <row r="59" spans="1:6" x14ac:dyDescent="0.3">
      <c r="A59" s="1" t="s">
        <v>95</v>
      </c>
      <c r="B59" s="1" t="s">
        <v>108</v>
      </c>
      <c r="C59" s="1" t="s">
        <v>14</v>
      </c>
      <c r="D59" s="9">
        <v>45522</v>
      </c>
      <c r="E59">
        <v>95</v>
      </c>
      <c r="F59" t="s">
        <v>109</v>
      </c>
    </row>
    <row r="60" spans="1:6" x14ac:dyDescent="0.3">
      <c r="A60" s="1" t="s">
        <v>95</v>
      </c>
      <c r="B60" s="1" t="s">
        <v>108</v>
      </c>
      <c r="C60" s="1" t="s">
        <v>14</v>
      </c>
      <c r="D60" s="9">
        <v>45523</v>
      </c>
      <c r="E60">
        <v>320</v>
      </c>
      <c r="F60" t="s">
        <v>109</v>
      </c>
    </row>
    <row r="61" spans="1:6" x14ac:dyDescent="0.3">
      <c r="A61" s="1" t="s">
        <v>95</v>
      </c>
      <c r="B61" s="1" t="s">
        <v>108</v>
      </c>
      <c r="C61" s="1" t="s">
        <v>29</v>
      </c>
      <c r="D61" s="9">
        <v>45529</v>
      </c>
      <c r="E61">
        <v>3500</v>
      </c>
      <c r="F61" t="s">
        <v>109</v>
      </c>
    </row>
    <row r="62" spans="1:6" x14ac:dyDescent="0.3">
      <c r="A62" s="1" t="s">
        <v>95</v>
      </c>
      <c r="B62" s="1" t="s">
        <v>108</v>
      </c>
      <c r="C62" s="1" t="s">
        <v>14</v>
      </c>
      <c r="D62" s="9">
        <v>45529</v>
      </c>
      <c r="E62">
        <v>540</v>
      </c>
      <c r="F62" t="s">
        <v>109</v>
      </c>
    </row>
    <row r="63" spans="1:6" x14ac:dyDescent="0.3">
      <c r="A63" s="1" t="s">
        <v>95</v>
      </c>
      <c r="B63" s="1" t="s">
        <v>108</v>
      </c>
      <c r="C63" s="1" t="s">
        <v>14</v>
      </c>
      <c r="D63" s="9">
        <v>45531</v>
      </c>
      <c r="E63">
        <v>2100</v>
      </c>
      <c r="F63" t="s">
        <v>109</v>
      </c>
    </row>
    <row r="64" spans="1:6" x14ac:dyDescent="0.3">
      <c r="A64" s="1" t="s">
        <v>95</v>
      </c>
      <c r="B64" s="1" t="s">
        <v>108</v>
      </c>
      <c r="C64" s="1" t="s">
        <v>14</v>
      </c>
      <c r="D64" s="9">
        <v>45532</v>
      </c>
      <c r="E64">
        <v>125</v>
      </c>
      <c r="F64" t="s">
        <v>109</v>
      </c>
    </row>
    <row r="65" spans="1:6" x14ac:dyDescent="0.3">
      <c r="A65" s="1" t="s">
        <v>95</v>
      </c>
      <c r="B65" s="1" t="s">
        <v>108</v>
      </c>
      <c r="C65" s="1" t="s">
        <v>14</v>
      </c>
      <c r="D65" s="9">
        <v>45533</v>
      </c>
      <c r="E65">
        <v>98.5</v>
      </c>
      <c r="F65" t="s">
        <v>109</v>
      </c>
    </row>
    <row r="66" spans="1:6" x14ac:dyDescent="0.3">
      <c r="A66" s="1" t="s">
        <v>95</v>
      </c>
      <c r="B66" s="1" t="s">
        <v>108</v>
      </c>
      <c r="C66" s="1" t="s">
        <v>29</v>
      </c>
      <c r="D66" s="9">
        <v>45540</v>
      </c>
      <c r="E66">
        <v>3500</v>
      </c>
      <c r="F66" t="s">
        <v>109</v>
      </c>
    </row>
    <row r="67" spans="1:6" x14ac:dyDescent="0.3">
      <c r="A67" s="1" t="s">
        <v>95</v>
      </c>
      <c r="B67" s="1" t="s">
        <v>108</v>
      </c>
      <c r="C67" s="1" t="s">
        <v>14</v>
      </c>
      <c r="D67" s="9">
        <v>45540</v>
      </c>
      <c r="E67">
        <v>385</v>
      </c>
      <c r="F67" t="s">
        <v>109</v>
      </c>
    </row>
    <row r="68" spans="1:6" x14ac:dyDescent="0.3">
      <c r="A68" s="1" t="s">
        <v>95</v>
      </c>
      <c r="B68" s="1" t="s">
        <v>108</v>
      </c>
      <c r="C68" s="1" t="s">
        <v>14</v>
      </c>
      <c r="D68" s="9">
        <v>45541</v>
      </c>
      <c r="E68">
        <v>89.75</v>
      </c>
      <c r="F68" t="s">
        <v>109</v>
      </c>
    </row>
    <row r="69" spans="1:6" x14ac:dyDescent="0.3">
      <c r="A69" s="1" t="s">
        <v>95</v>
      </c>
      <c r="B69" s="1" t="s">
        <v>108</v>
      </c>
      <c r="C69" s="1" t="s">
        <v>14</v>
      </c>
      <c r="D69" s="9">
        <v>45542</v>
      </c>
      <c r="E69">
        <v>1250</v>
      </c>
      <c r="F69" t="s">
        <v>109</v>
      </c>
    </row>
    <row r="70" spans="1:6" x14ac:dyDescent="0.3">
      <c r="A70" s="1" t="s">
        <v>95</v>
      </c>
      <c r="B70" s="1" t="s">
        <v>108</v>
      </c>
      <c r="C70" s="1" t="s">
        <v>14</v>
      </c>
      <c r="D70" s="9">
        <v>45543</v>
      </c>
      <c r="E70">
        <v>67</v>
      </c>
      <c r="F70" t="s">
        <v>109</v>
      </c>
    </row>
    <row r="71" spans="1:6" x14ac:dyDescent="0.3">
      <c r="A71" s="1" t="s">
        <v>95</v>
      </c>
      <c r="B71" s="1" t="s">
        <v>108</v>
      </c>
      <c r="C71" s="1" t="s">
        <v>14</v>
      </c>
      <c r="D71" s="9">
        <v>45544</v>
      </c>
      <c r="E71">
        <v>175</v>
      </c>
      <c r="F71" t="s">
        <v>109</v>
      </c>
    </row>
    <row r="72" spans="1:6" x14ac:dyDescent="0.3">
      <c r="A72" s="1" t="s">
        <v>95</v>
      </c>
      <c r="B72" s="1" t="s">
        <v>108</v>
      </c>
      <c r="C72" s="1" t="s">
        <v>14</v>
      </c>
      <c r="D72" s="9">
        <v>45545</v>
      </c>
      <c r="E72">
        <v>125</v>
      </c>
      <c r="F72" t="s">
        <v>109</v>
      </c>
    </row>
    <row r="73" spans="1:6" x14ac:dyDescent="0.3">
      <c r="A73" s="1" t="s">
        <v>95</v>
      </c>
      <c r="B73" s="1" t="s">
        <v>108</v>
      </c>
      <c r="C73" s="1" t="s">
        <v>29</v>
      </c>
      <c r="D73" s="9">
        <v>45550</v>
      </c>
      <c r="E73">
        <v>3500</v>
      </c>
      <c r="F73" t="s">
        <v>109</v>
      </c>
    </row>
    <row r="74" spans="1:6" x14ac:dyDescent="0.3">
      <c r="A74" s="1" t="s">
        <v>95</v>
      </c>
      <c r="B74" s="1" t="s">
        <v>108</v>
      </c>
      <c r="C74" s="1" t="s">
        <v>14</v>
      </c>
      <c r="D74" s="9">
        <v>45550</v>
      </c>
      <c r="E74">
        <v>495</v>
      </c>
      <c r="F74" t="s">
        <v>109</v>
      </c>
    </row>
    <row r="75" spans="1:6" x14ac:dyDescent="0.3">
      <c r="A75" s="1" t="s">
        <v>95</v>
      </c>
      <c r="B75" s="1" t="s">
        <v>108</v>
      </c>
      <c r="C75" s="1" t="s">
        <v>14</v>
      </c>
      <c r="D75" s="9">
        <v>45551</v>
      </c>
      <c r="E75">
        <v>95.5</v>
      </c>
      <c r="F75" t="s">
        <v>109</v>
      </c>
    </row>
    <row r="76" spans="1:6" x14ac:dyDescent="0.3">
      <c r="A76" s="1" t="s">
        <v>95</v>
      </c>
      <c r="B76" s="1" t="s">
        <v>108</v>
      </c>
      <c r="C76" s="1" t="s">
        <v>14</v>
      </c>
      <c r="D76" s="9">
        <v>45552</v>
      </c>
      <c r="E76">
        <v>450</v>
      </c>
      <c r="F76" t="s">
        <v>109</v>
      </c>
    </row>
    <row r="77" spans="1:6" x14ac:dyDescent="0.3">
      <c r="A77" s="1" t="s">
        <v>95</v>
      </c>
      <c r="B77" s="1" t="s">
        <v>108</v>
      </c>
      <c r="C77" s="1" t="s">
        <v>14</v>
      </c>
      <c r="D77" s="9">
        <v>45553</v>
      </c>
      <c r="E77">
        <v>78</v>
      </c>
      <c r="F77" t="s">
        <v>109</v>
      </c>
    </row>
    <row r="78" spans="1:6" x14ac:dyDescent="0.3">
      <c r="A78" s="1" t="s">
        <v>95</v>
      </c>
      <c r="B78" s="1" t="s">
        <v>108</v>
      </c>
      <c r="C78" s="1" t="s">
        <v>14</v>
      </c>
      <c r="D78" s="9">
        <v>45554</v>
      </c>
      <c r="E78">
        <v>235</v>
      </c>
      <c r="F78" t="s">
        <v>109</v>
      </c>
    </row>
    <row r="79" spans="1:6" x14ac:dyDescent="0.3">
      <c r="A79" s="1" t="s">
        <v>95</v>
      </c>
      <c r="B79" s="1" t="s">
        <v>108</v>
      </c>
      <c r="C79" s="1" t="s">
        <v>29</v>
      </c>
      <c r="D79" s="9">
        <v>45560</v>
      </c>
      <c r="E79">
        <v>3500</v>
      </c>
      <c r="F79" t="s">
        <v>109</v>
      </c>
    </row>
    <row r="80" spans="1:6" x14ac:dyDescent="0.3">
      <c r="A80" s="1" t="s">
        <v>95</v>
      </c>
      <c r="B80" s="1" t="s">
        <v>108</v>
      </c>
      <c r="C80" s="1" t="s">
        <v>14</v>
      </c>
      <c r="D80" s="9">
        <v>45560</v>
      </c>
      <c r="E80">
        <v>720</v>
      </c>
      <c r="F80" t="s">
        <v>109</v>
      </c>
    </row>
    <row r="81" spans="1:6" x14ac:dyDescent="0.3">
      <c r="A81" s="1" t="s">
        <v>95</v>
      </c>
      <c r="B81" s="1" t="s">
        <v>108</v>
      </c>
      <c r="C81" s="1" t="s">
        <v>14</v>
      </c>
      <c r="D81" s="9">
        <v>45562</v>
      </c>
      <c r="E81">
        <v>2100</v>
      </c>
      <c r="F81" t="s">
        <v>109</v>
      </c>
    </row>
    <row r="82" spans="1:6" x14ac:dyDescent="0.3">
      <c r="A82" s="1" t="s">
        <v>95</v>
      </c>
      <c r="B82" s="1" t="s">
        <v>108</v>
      </c>
      <c r="C82" s="1" t="s">
        <v>14</v>
      </c>
      <c r="D82" s="9">
        <v>45563</v>
      </c>
      <c r="E82">
        <v>145</v>
      </c>
      <c r="F82" t="s">
        <v>109</v>
      </c>
    </row>
    <row r="83" spans="1:6" x14ac:dyDescent="0.3">
      <c r="A83" s="1" t="s">
        <v>95</v>
      </c>
      <c r="B83" s="1" t="s">
        <v>108</v>
      </c>
      <c r="C83" s="1" t="s">
        <v>14</v>
      </c>
      <c r="D83" s="9">
        <v>45564</v>
      </c>
      <c r="E83">
        <v>67.8</v>
      </c>
      <c r="F83" t="s">
        <v>109</v>
      </c>
    </row>
    <row r="84" spans="1:6" x14ac:dyDescent="0.3">
      <c r="A84" s="1" t="s">
        <v>95</v>
      </c>
      <c r="B84" s="1" t="s">
        <v>108</v>
      </c>
      <c r="C84" s="1" t="s">
        <v>29</v>
      </c>
      <c r="D84" s="9">
        <v>45570</v>
      </c>
      <c r="E84">
        <v>3500</v>
      </c>
      <c r="F84" t="s">
        <v>109</v>
      </c>
    </row>
    <row r="85" spans="1:6" x14ac:dyDescent="0.3">
      <c r="A85" s="1" t="s">
        <v>95</v>
      </c>
      <c r="B85" s="1" t="s">
        <v>108</v>
      </c>
      <c r="C85" s="1" t="s">
        <v>14</v>
      </c>
      <c r="D85" s="9">
        <v>45570</v>
      </c>
      <c r="E85">
        <v>340</v>
      </c>
      <c r="F85" t="s">
        <v>109</v>
      </c>
    </row>
    <row r="86" spans="1:6" x14ac:dyDescent="0.3">
      <c r="A86" s="1" t="s">
        <v>95</v>
      </c>
      <c r="B86" s="1" t="s">
        <v>108</v>
      </c>
      <c r="C86" s="1" t="s">
        <v>14</v>
      </c>
      <c r="D86" s="9">
        <v>45571</v>
      </c>
      <c r="E86">
        <v>125</v>
      </c>
      <c r="F86" t="s">
        <v>109</v>
      </c>
    </row>
    <row r="87" spans="1:6" x14ac:dyDescent="0.3">
      <c r="A87" s="1" t="s">
        <v>95</v>
      </c>
      <c r="B87" s="1" t="s">
        <v>108</v>
      </c>
      <c r="C87" s="1" t="s">
        <v>14</v>
      </c>
      <c r="D87" s="9">
        <v>45572</v>
      </c>
      <c r="E87">
        <v>1050</v>
      </c>
      <c r="F87" t="s">
        <v>109</v>
      </c>
    </row>
    <row r="88" spans="1:6" x14ac:dyDescent="0.3">
      <c r="A88" s="1" t="s">
        <v>95</v>
      </c>
      <c r="B88" s="1" t="s">
        <v>108</v>
      </c>
      <c r="C88" s="1" t="s">
        <v>14</v>
      </c>
      <c r="D88" s="9">
        <v>45573</v>
      </c>
      <c r="E88">
        <v>42.5</v>
      </c>
      <c r="F88" t="s">
        <v>109</v>
      </c>
    </row>
    <row r="89" spans="1:6" x14ac:dyDescent="0.3">
      <c r="A89" s="1" t="s">
        <v>95</v>
      </c>
      <c r="B89" s="1" t="s">
        <v>108</v>
      </c>
      <c r="C89" s="1" t="s">
        <v>14</v>
      </c>
      <c r="D89" s="9">
        <v>45574</v>
      </c>
      <c r="E89">
        <v>189.99</v>
      </c>
      <c r="F89" t="s">
        <v>109</v>
      </c>
    </row>
    <row r="90" spans="1:6" x14ac:dyDescent="0.3">
      <c r="A90" s="1" t="s">
        <v>95</v>
      </c>
      <c r="B90" s="1" t="s">
        <v>108</v>
      </c>
      <c r="C90" s="1" t="s">
        <v>14</v>
      </c>
      <c r="D90" s="9">
        <v>45606</v>
      </c>
      <c r="E90">
        <v>95</v>
      </c>
      <c r="F90" t="s">
        <v>109</v>
      </c>
    </row>
    <row r="91" spans="1:6" x14ac:dyDescent="0.3">
      <c r="A91" s="1" t="s">
        <v>95</v>
      </c>
      <c r="B91" s="1" t="s">
        <v>108</v>
      </c>
      <c r="C91" s="1" t="s">
        <v>14</v>
      </c>
      <c r="D91" s="9">
        <v>45637</v>
      </c>
      <c r="E91">
        <v>1.0000000000019301E-2</v>
      </c>
      <c r="F91" t="s">
        <v>109</v>
      </c>
    </row>
    <row r="92" spans="1:6" x14ac:dyDescent="0.3">
      <c r="A92" s="1" t="s">
        <v>95</v>
      </c>
      <c r="B92" s="1" t="s">
        <v>108</v>
      </c>
      <c r="C92" s="1" t="s">
        <v>14</v>
      </c>
      <c r="D92" s="9">
        <v>45669</v>
      </c>
      <c r="E92">
        <v>94.98</v>
      </c>
      <c r="F92" t="s">
        <v>109</v>
      </c>
    </row>
    <row r="93" spans="1:6" x14ac:dyDescent="0.3">
      <c r="A93" s="1" t="s">
        <v>95</v>
      </c>
      <c r="B93" s="1" t="s">
        <v>108</v>
      </c>
      <c r="C93" s="1" t="s">
        <v>14</v>
      </c>
      <c r="D93" s="9">
        <v>45701</v>
      </c>
      <c r="E93">
        <v>189.97</v>
      </c>
      <c r="F93" t="s">
        <v>109</v>
      </c>
    </row>
    <row r="94" spans="1:6" x14ac:dyDescent="0.3">
      <c r="A94" s="1" t="s">
        <v>95</v>
      </c>
      <c r="B94" s="1" t="s">
        <v>108</v>
      </c>
      <c r="C94" s="1" t="s">
        <v>14</v>
      </c>
      <c r="D94" s="9">
        <v>45730</v>
      </c>
      <c r="E94">
        <v>284.95999999999998</v>
      </c>
      <c r="F94" t="s">
        <v>109</v>
      </c>
    </row>
    <row r="95" spans="1:6" x14ac:dyDescent="0.3">
      <c r="A95" s="1" t="s">
        <v>95</v>
      </c>
      <c r="B95" s="1" t="s">
        <v>108</v>
      </c>
      <c r="C95" s="1" t="s">
        <v>14</v>
      </c>
      <c r="D95" s="9">
        <v>45762</v>
      </c>
      <c r="E95">
        <v>379.95</v>
      </c>
      <c r="F95" t="s">
        <v>109</v>
      </c>
    </row>
    <row r="96" spans="1:6" x14ac:dyDescent="0.3">
      <c r="A96" s="1" t="s">
        <v>95</v>
      </c>
      <c r="B96" s="1" t="s">
        <v>108</v>
      </c>
      <c r="C96" s="1" t="s">
        <v>14</v>
      </c>
      <c r="D96" s="9">
        <v>45793</v>
      </c>
      <c r="E96">
        <v>474.94</v>
      </c>
      <c r="F96" t="s">
        <v>109</v>
      </c>
    </row>
    <row r="97" spans="1:6" x14ac:dyDescent="0.3">
      <c r="A97" s="1" t="s">
        <v>95</v>
      </c>
      <c r="B97" s="1" t="s">
        <v>108</v>
      </c>
      <c r="C97" s="1" t="s">
        <v>14</v>
      </c>
      <c r="D97" s="9">
        <v>45825</v>
      </c>
      <c r="E97">
        <v>569.92999999999995</v>
      </c>
      <c r="F97" t="s">
        <v>109</v>
      </c>
    </row>
    <row r="98" spans="1:6" x14ac:dyDescent="0.3">
      <c r="A98" s="1" t="s">
        <v>95</v>
      </c>
      <c r="B98" s="1" t="s">
        <v>108</v>
      </c>
      <c r="C98" s="1" t="s">
        <v>14</v>
      </c>
      <c r="D98" s="9">
        <v>45856</v>
      </c>
      <c r="E98">
        <v>664.92</v>
      </c>
      <c r="F98" t="s">
        <v>109</v>
      </c>
    </row>
    <row r="99" spans="1:6" x14ac:dyDescent="0.3">
      <c r="A99" s="1" t="s">
        <v>95</v>
      </c>
      <c r="B99" s="1" t="s">
        <v>108</v>
      </c>
      <c r="C99" s="1" t="s">
        <v>14</v>
      </c>
      <c r="D99" s="9">
        <v>45888</v>
      </c>
      <c r="E99">
        <v>759.91</v>
      </c>
      <c r="F99" t="s">
        <v>109</v>
      </c>
    </row>
    <row r="100" spans="1:6" x14ac:dyDescent="0.3">
      <c r="A100" s="1" t="s">
        <v>95</v>
      </c>
      <c r="B100" s="1" t="s">
        <v>108</v>
      </c>
      <c r="C100" s="1" t="s">
        <v>14</v>
      </c>
      <c r="D100" s="9">
        <v>45920</v>
      </c>
      <c r="E100">
        <v>854.9</v>
      </c>
      <c r="F100" t="s">
        <v>109</v>
      </c>
    </row>
    <row r="101" spans="1:6" x14ac:dyDescent="0.3">
      <c r="A101" s="1" t="s">
        <v>95</v>
      </c>
      <c r="B101" s="1" t="s">
        <v>108</v>
      </c>
      <c r="C101" s="1" t="s">
        <v>14</v>
      </c>
      <c r="D101" s="9">
        <v>45951</v>
      </c>
      <c r="E101">
        <v>949.89</v>
      </c>
      <c r="F101" t="s">
        <v>109</v>
      </c>
    </row>
    <row r="102" spans="1:6" x14ac:dyDescent="0.3">
      <c r="A102" s="1" t="s">
        <v>95</v>
      </c>
      <c r="B102" s="1" t="s">
        <v>108</v>
      </c>
      <c r="C102" s="1" t="s">
        <v>14</v>
      </c>
      <c r="D102" s="9">
        <v>45983</v>
      </c>
      <c r="E102">
        <v>1044.8800000000001</v>
      </c>
      <c r="F102" t="s">
        <v>109</v>
      </c>
    </row>
    <row r="103" spans="1:6" x14ac:dyDescent="0.3">
      <c r="A103" s="1" t="s">
        <v>95</v>
      </c>
      <c r="B103" s="1" t="s">
        <v>108</v>
      </c>
      <c r="C103" s="1" t="s">
        <v>14</v>
      </c>
      <c r="D103" s="9">
        <v>46014</v>
      </c>
      <c r="E103">
        <v>1139.8699999999999</v>
      </c>
      <c r="F103" t="s">
        <v>109</v>
      </c>
    </row>
    <row r="104" spans="1:6" x14ac:dyDescent="0.3">
      <c r="A104" s="1" t="s">
        <v>95</v>
      </c>
      <c r="B104" s="1" t="s">
        <v>108</v>
      </c>
      <c r="C104" s="1" t="s">
        <v>14</v>
      </c>
      <c r="D104" s="9">
        <v>46046</v>
      </c>
      <c r="E104">
        <v>1234.8599999999999</v>
      </c>
      <c r="F104" t="s">
        <v>109</v>
      </c>
    </row>
    <row r="105" spans="1:6" x14ac:dyDescent="0.3">
      <c r="A105" s="1" t="s">
        <v>95</v>
      </c>
      <c r="B105" s="1" t="s">
        <v>108</v>
      </c>
      <c r="C105" s="1" t="s">
        <v>14</v>
      </c>
      <c r="D105" s="9">
        <v>44938</v>
      </c>
      <c r="E105">
        <v>94.98</v>
      </c>
      <c r="F105" t="s">
        <v>109</v>
      </c>
    </row>
    <row r="106" spans="1:6" x14ac:dyDescent="0.3">
      <c r="A106" s="1" t="s">
        <v>95</v>
      </c>
      <c r="B106" s="1" t="s">
        <v>108</v>
      </c>
      <c r="C106" s="1" t="s">
        <v>14</v>
      </c>
      <c r="D106" s="9">
        <v>44970</v>
      </c>
      <c r="E106">
        <v>189.97</v>
      </c>
      <c r="F106" t="s">
        <v>109</v>
      </c>
    </row>
    <row r="107" spans="1:6" x14ac:dyDescent="0.3">
      <c r="A107" s="1" t="s">
        <v>95</v>
      </c>
      <c r="B107" s="1" t="s">
        <v>108</v>
      </c>
      <c r="C107" s="1" t="s">
        <v>14</v>
      </c>
      <c r="D107" s="9">
        <v>44999</v>
      </c>
      <c r="E107">
        <v>284.95999999999998</v>
      </c>
      <c r="F107" t="s">
        <v>109</v>
      </c>
    </row>
    <row r="108" spans="1:6" x14ac:dyDescent="0.3">
      <c r="A108" s="1" t="s">
        <v>95</v>
      </c>
      <c r="B108" s="1" t="s">
        <v>108</v>
      </c>
      <c r="C108" s="1" t="s">
        <v>14</v>
      </c>
      <c r="D108" s="9">
        <v>45031</v>
      </c>
      <c r="E108">
        <v>379.95</v>
      </c>
      <c r="F108" t="s">
        <v>109</v>
      </c>
    </row>
    <row r="109" spans="1:6" x14ac:dyDescent="0.3">
      <c r="A109" s="1" t="s">
        <v>95</v>
      </c>
      <c r="B109" s="1" t="s">
        <v>108</v>
      </c>
      <c r="C109" s="1" t="s">
        <v>14</v>
      </c>
      <c r="D109" s="9">
        <v>45062</v>
      </c>
      <c r="E109">
        <v>474.94</v>
      </c>
      <c r="F109" t="s">
        <v>109</v>
      </c>
    </row>
    <row r="110" spans="1:6" x14ac:dyDescent="0.3">
      <c r="A110" s="1" t="s">
        <v>95</v>
      </c>
      <c r="B110" s="1" t="s">
        <v>108</v>
      </c>
      <c r="C110" s="1" t="s">
        <v>14</v>
      </c>
      <c r="D110" s="9">
        <v>45094</v>
      </c>
      <c r="E110">
        <v>569.92999999999995</v>
      </c>
      <c r="F110" t="s">
        <v>109</v>
      </c>
    </row>
    <row r="111" spans="1:6" x14ac:dyDescent="0.3">
      <c r="A111" s="1" t="s">
        <v>95</v>
      </c>
      <c r="B111" s="1" t="s">
        <v>108</v>
      </c>
      <c r="C111" s="1" t="s">
        <v>14</v>
      </c>
      <c r="D111" s="9">
        <v>45125</v>
      </c>
      <c r="E111">
        <v>664.92</v>
      </c>
      <c r="F111" t="s">
        <v>109</v>
      </c>
    </row>
    <row r="112" spans="1:6" x14ac:dyDescent="0.3">
      <c r="A112" s="1" t="s">
        <v>95</v>
      </c>
      <c r="B112" s="1" t="s">
        <v>108</v>
      </c>
      <c r="C112" s="1" t="s">
        <v>14</v>
      </c>
      <c r="D112" s="9">
        <v>45157</v>
      </c>
      <c r="E112">
        <v>759.91</v>
      </c>
      <c r="F112" t="s">
        <v>109</v>
      </c>
    </row>
    <row r="113" spans="1:6" x14ac:dyDescent="0.3">
      <c r="A113" s="1" t="s">
        <v>95</v>
      </c>
      <c r="B113" s="1" t="s">
        <v>108</v>
      </c>
      <c r="C113" s="1" t="s">
        <v>14</v>
      </c>
      <c r="D113" s="9">
        <v>45189</v>
      </c>
      <c r="E113">
        <v>854.9</v>
      </c>
      <c r="F113" t="s">
        <v>109</v>
      </c>
    </row>
    <row r="114" spans="1:6" x14ac:dyDescent="0.3">
      <c r="A114" s="1" t="s">
        <v>95</v>
      </c>
      <c r="B114" s="1" t="s">
        <v>108</v>
      </c>
      <c r="C114" s="1" t="s">
        <v>14</v>
      </c>
      <c r="D114" s="9">
        <v>45220</v>
      </c>
      <c r="E114">
        <v>949.89</v>
      </c>
      <c r="F114" t="s">
        <v>109</v>
      </c>
    </row>
    <row r="115" spans="1:6" x14ac:dyDescent="0.3">
      <c r="A115" s="1" t="s">
        <v>95</v>
      </c>
      <c r="B115" s="1" t="s">
        <v>108</v>
      </c>
      <c r="C115" s="1" t="s">
        <v>14</v>
      </c>
      <c r="D115" s="9">
        <v>45252</v>
      </c>
      <c r="E115">
        <v>1044.8800000000001</v>
      </c>
      <c r="F115" t="s">
        <v>109</v>
      </c>
    </row>
    <row r="116" spans="1:6" x14ac:dyDescent="0.3">
      <c r="A116" s="1" t="s">
        <v>95</v>
      </c>
      <c r="B116" s="1" t="s">
        <v>108</v>
      </c>
      <c r="C116" s="1" t="s">
        <v>14</v>
      </c>
      <c r="D116" s="9">
        <v>45283</v>
      </c>
      <c r="E116">
        <v>1139.8699999999999</v>
      </c>
      <c r="F116" t="s">
        <v>109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120A-1967-4695-B1F4-307647E62F99}">
  <dimension ref="A1:N123"/>
  <sheetViews>
    <sheetView workbookViewId="0">
      <selection activeCell="E124" sqref="E124"/>
    </sheetView>
  </sheetViews>
  <sheetFormatPr defaultRowHeight="14.4" x14ac:dyDescent="0.3"/>
  <cols>
    <col min="1" max="1" width="25.21875" customWidth="1"/>
    <col min="2" max="2" width="14.21875" customWidth="1"/>
    <col min="3" max="3" width="24.44140625" customWidth="1"/>
    <col min="4" max="4" width="10.33203125" customWidth="1"/>
    <col min="5" max="5" width="10.21875" customWidth="1"/>
    <col min="6" max="6" width="15" customWidth="1"/>
    <col min="7" max="7" width="19.44140625" style="8" customWidth="1"/>
    <col min="8" max="8" width="29.33203125" customWidth="1"/>
    <col min="9" max="9" width="19.21875" customWidth="1"/>
    <col min="10" max="10" width="22.109375" customWidth="1"/>
    <col min="11" max="11" width="17.44140625" customWidth="1"/>
    <col min="12" max="12" width="16.21875" customWidth="1"/>
    <col min="13" max="13" width="36.33203125" customWidth="1"/>
    <col min="14" max="14" width="18.77734375" bestFit="1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102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3" t="s">
        <v>98</v>
      </c>
    </row>
    <row r="2" spans="1:14" x14ac:dyDescent="0.3">
      <c r="A2" t="s">
        <v>12</v>
      </c>
      <c r="B2" t="s">
        <v>13</v>
      </c>
      <c r="C2" t="s">
        <v>95</v>
      </c>
      <c r="E2">
        <v>340</v>
      </c>
      <c r="F2" t="s">
        <v>14</v>
      </c>
      <c r="G2" s="8">
        <v>45427</v>
      </c>
      <c r="I2" t="s">
        <v>15</v>
      </c>
      <c r="J2" t="s">
        <v>16</v>
      </c>
      <c r="L2" t="s">
        <v>17</v>
      </c>
      <c r="N2" t="s">
        <v>96</v>
      </c>
    </row>
    <row r="3" spans="1:14" x14ac:dyDescent="0.3">
      <c r="A3" t="s">
        <v>12</v>
      </c>
      <c r="B3" t="s">
        <v>18</v>
      </c>
      <c r="C3" t="s">
        <v>95</v>
      </c>
      <c r="E3">
        <v>98.75</v>
      </c>
      <c r="F3" t="s">
        <v>14</v>
      </c>
      <c r="G3" s="8">
        <v>45428</v>
      </c>
      <c r="I3" t="s">
        <v>19</v>
      </c>
      <c r="J3" t="s">
        <v>20</v>
      </c>
      <c r="L3" t="s">
        <v>21</v>
      </c>
      <c r="N3" t="s">
        <v>96</v>
      </c>
    </row>
    <row r="4" spans="1:14" x14ac:dyDescent="0.3">
      <c r="A4" t="s">
        <v>12</v>
      </c>
      <c r="B4" t="s">
        <v>22</v>
      </c>
      <c r="C4" t="s">
        <v>95</v>
      </c>
      <c r="E4">
        <v>450</v>
      </c>
      <c r="F4" t="s">
        <v>14</v>
      </c>
      <c r="G4" s="8">
        <v>45429</v>
      </c>
      <c r="I4" t="s">
        <v>19</v>
      </c>
      <c r="J4" t="s">
        <v>23</v>
      </c>
      <c r="L4" t="s">
        <v>24</v>
      </c>
      <c r="N4" t="s">
        <v>96</v>
      </c>
    </row>
    <row r="5" spans="1:14" x14ac:dyDescent="0.3">
      <c r="A5" t="s">
        <v>12</v>
      </c>
      <c r="B5" t="s">
        <v>13</v>
      </c>
      <c r="C5" t="s">
        <v>95</v>
      </c>
      <c r="E5">
        <v>89</v>
      </c>
      <c r="F5" t="s">
        <v>14</v>
      </c>
      <c r="G5" s="8">
        <v>45430</v>
      </c>
      <c r="I5" t="s">
        <v>19</v>
      </c>
      <c r="J5" t="s">
        <v>25</v>
      </c>
      <c r="L5" t="s">
        <v>26</v>
      </c>
      <c r="N5" t="s">
        <v>96</v>
      </c>
    </row>
    <row r="6" spans="1:14" x14ac:dyDescent="0.3">
      <c r="A6" t="s">
        <v>12</v>
      </c>
      <c r="B6" t="s">
        <v>18</v>
      </c>
      <c r="C6" t="s">
        <v>95</v>
      </c>
      <c r="E6">
        <v>235.5</v>
      </c>
      <c r="F6" t="s">
        <v>14</v>
      </c>
      <c r="G6" s="8">
        <v>45431</v>
      </c>
      <c r="I6" t="s">
        <v>15</v>
      </c>
      <c r="J6" t="s">
        <v>27</v>
      </c>
      <c r="L6" t="s">
        <v>28</v>
      </c>
      <c r="N6" t="s">
        <v>96</v>
      </c>
    </row>
    <row r="7" spans="1:14" x14ac:dyDescent="0.3">
      <c r="A7" t="s">
        <v>12</v>
      </c>
      <c r="B7" t="s">
        <v>22</v>
      </c>
      <c r="C7" t="s">
        <v>95</v>
      </c>
      <c r="E7">
        <v>3500</v>
      </c>
      <c r="F7" t="s">
        <v>29</v>
      </c>
      <c r="G7" s="8">
        <v>45437</v>
      </c>
      <c r="I7" t="s">
        <v>19</v>
      </c>
      <c r="J7" t="s">
        <v>30</v>
      </c>
      <c r="L7" t="s">
        <v>31</v>
      </c>
      <c r="N7" t="s">
        <v>96</v>
      </c>
    </row>
    <row r="8" spans="1:14" x14ac:dyDescent="0.3">
      <c r="A8" t="s">
        <v>12</v>
      </c>
      <c r="B8" t="s">
        <v>13</v>
      </c>
      <c r="C8" t="s">
        <v>95</v>
      </c>
      <c r="E8">
        <v>680</v>
      </c>
      <c r="F8" t="s">
        <v>14</v>
      </c>
      <c r="G8" s="8">
        <v>45437</v>
      </c>
      <c r="I8" t="s">
        <v>32</v>
      </c>
      <c r="J8" t="s">
        <v>33</v>
      </c>
      <c r="L8" t="s">
        <v>34</v>
      </c>
      <c r="N8" t="s">
        <v>96</v>
      </c>
    </row>
    <row r="9" spans="1:14" hidden="1" x14ac:dyDescent="0.3">
      <c r="A9" t="s">
        <v>12</v>
      </c>
      <c r="B9" t="s">
        <v>18</v>
      </c>
      <c r="C9" t="s">
        <v>95</v>
      </c>
      <c r="E9">
        <v>2100</v>
      </c>
      <c r="F9" t="s">
        <v>14</v>
      </c>
      <c r="G9" s="8">
        <v>45439</v>
      </c>
      <c r="I9" t="s">
        <v>35</v>
      </c>
      <c r="J9" t="s">
        <v>36</v>
      </c>
      <c r="L9" t="s">
        <v>37</v>
      </c>
      <c r="N9" t="s">
        <v>95</v>
      </c>
    </row>
    <row r="10" spans="1:14" hidden="1" x14ac:dyDescent="0.3">
      <c r="A10" t="s">
        <v>12</v>
      </c>
      <c r="B10" t="s">
        <v>22</v>
      </c>
      <c r="C10" t="s">
        <v>95</v>
      </c>
      <c r="E10">
        <v>145</v>
      </c>
      <c r="F10" t="s">
        <v>14</v>
      </c>
      <c r="G10" s="8">
        <v>45440</v>
      </c>
      <c r="I10" t="s">
        <v>15</v>
      </c>
      <c r="J10" t="s">
        <v>38</v>
      </c>
      <c r="L10" t="s">
        <v>39</v>
      </c>
      <c r="N10" t="s">
        <v>95</v>
      </c>
    </row>
    <row r="11" spans="1:14" hidden="1" x14ac:dyDescent="0.3">
      <c r="A11" t="s">
        <v>12</v>
      </c>
      <c r="B11" t="s">
        <v>13</v>
      </c>
      <c r="C11" t="s">
        <v>95</v>
      </c>
      <c r="E11">
        <v>78.5</v>
      </c>
      <c r="F11" t="s">
        <v>14</v>
      </c>
      <c r="G11" s="8">
        <v>45441</v>
      </c>
      <c r="I11" t="s">
        <v>15</v>
      </c>
      <c r="J11" t="s">
        <v>20</v>
      </c>
      <c r="L11" t="s">
        <v>40</v>
      </c>
      <c r="N11" t="s">
        <v>95</v>
      </c>
    </row>
    <row r="12" spans="1:14" hidden="1" x14ac:dyDescent="0.3">
      <c r="A12" t="s">
        <v>12</v>
      </c>
      <c r="B12" t="s">
        <v>18</v>
      </c>
      <c r="C12" t="s">
        <v>96</v>
      </c>
      <c r="E12">
        <v>3500</v>
      </c>
      <c r="F12" t="s">
        <v>29</v>
      </c>
      <c r="G12" s="8">
        <v>45448</v>
      </c>
      <c r="I12" t="s">
        <v>19</v>
      </c>
      <c r="J12" t="s">
        <v>30</v>
      </c>
      <c r="L12" t="s">
        <v>31</v>
      </c>
      <c r="N12" t="s">
        <v>95</v>
      </c>
    </row>
    <row r="13" spans="1:14" hidden="1" x14ac:dyDescent="0.3">
      <c r="A13" t="s">
        <v>12</v>
      </c>
      <c r="B13" t="s">
        <v>22</v>
      </c>
      <c r="C13" t="s">
        <v>96</v>
      </c>
      <c r="E13">
        <v>295</v>
      </c>
      <c r="F13" t="s">
        <v>14</v>
      </c>
      <c r="G13" s="8">
        <v>45448</v>
      </c>
      <c r="I13" t="s">
        <v>15</v>
      </c>
      <c r="J13" t="s">
        <v>16</v>
      </c>
      <c r="L13" t="s">
        <v>41</v>
      </c>
      <c r="N13" t="s">
        <v>95</v>
      </c>
    </row>
    <row r="14" spans="1:14" hidden="1" x14ac:dyDescent="0.3">
      <c r="A14" t="s">
        <v>12</v>
      </c>
      <c r="B14" t="s">
        <v>13</v>
      </c>
      <c r="C14" t="s">
        <v>96</v>
      </c>
      <c r="E14">
        <v>125</v>
      </c>
      <c r="F14" t="s">
        <v>14</v>
      </c>
      <c r="G14" s="8">
        <v>45449</v>
      </c>
      <c r="I14" t="s">
        <v>15</v>
      </c>
      <c r="J14" t="s">
        <v>42</v>
      </c>
      <c r="L14" t="s">
        <v>43</v>
      </c>
      <c r="N14" t="s">
        <v>95</v>
      </c>
    </row>
    <row r="15" spans="1:14" hidden="1" x14ac:dyDescent="0.3">
      <c r="A15" t="s">
        <v>12</v>
      </c>
      <c r="B15" t="s">
        <v>18</v>
      </c>
      <c r="C15" t="s">
        <v>96</v>
      </c>
      <c r="E15">
        <v>1050</v>
      </c>
      <c r="F15" t="s">
        <v>14</v>
      </c>
      <c r="G15" s="8">
        <v>45450</v>
      </c>
      <c r="I15" t="s">
        <v>15</v>
      </c>
      <c r="J15" t="s">
        <v>44</v>
      </c>
      <c r="L15" t="s">
        <v>45</v>
      </c>
      <c r="N15" t="s">
        <v>95</v>
      </c>
    </row>
    <row r="16" spans="1:14" hidden="1" x14ac:dyDescent="0.3">
      <c r="A16" t="s">
        <v>12</v>
      </c>
      <c r="B16" t="s">
        <v>22</v>
      </c>
      <c r="C16" t="s">
        <v>96</v>
      </c>
      <c r="E16">
        <v>42.5</v>
      </c>
      <c r="F16" t="s">
        <v>14</v>
      </c>
      <c r="G16" s="8">
        <v>45451</v>
      </c>
      <c r="I16" t="s">
        <v>32</v>
      </c>
      <c r="J16" t="s">
        <v>46</v>
      </c>
      <c r="L16" t="s">
        <v>47</v>
      </c>
      <c r="N16" t="s">
        <v>95</v>
      </c>
    </row>
    <row r="17" spans="1:14" hidden="1" x14ac:dyDescent="0.3">
      <c r="A17" t="s">
        <v>12</v>
      </c>
      <c r="B17" t="s">
        <v>13</v>
      </c>
      <c r="C17" t="s">
        <v>96</v>
      </c>
      <c r="E17">
        <v>189.99</v>
      </c>
      <c r="F17" t="s">
        <v>14</v>
      </c>
      <c r="G17" s="8">
        <v>45452</v>
      </c>
      <c r="I17" t="s">
        <v>35</v>
      </c>
      <c r="J17" t="s">
        <v>48</v>
      </c>
      <c r="L17" t="s">
        <v>49</v>
      </c>
      <c r="N17" t="s">
        <v>95</v>
      </c>
    </row>
    <row r="18" spans="1:14" hidden="1" x14ac:dyDescent="0.3">
      <c r="A18" t="s">
        <v>12</v>
      </c>
      <c r="B18" t="s">
        <v>18</v>
      </c>
      <c r="C18" t="s">
        <v>96</v>
      </c>
      <c r="E18">
        <v>95</v>
      </c>
      <c r="F18" t="s">
        <v>14</v>
      </c>
      <c r="G18" s="8">
        <v>45453</v>
      </c>
      <c r="I18" t="s">
        <v>15</v>
      </c>
      <c r="J18" t="s">
        <v>27</v>
      </c>
      <c r="L18" t="s">
        <v>50</v>
      </c>
      <c r="N18" t="s">
        <v>95</v>
      </c>
    </row>
    <row r="19" spans="1:14" hidden="1" x14ac:dyDescent="0.3">
      <c r="A19" t="s">
        <v>12</v>
      </c>
      <c r="B19" t="s">
        <v>22</v>
      </c>
      <c r="C19" t="s">
        <v>97</v>
      </c>
      <c r="E19">
        <v>3500</v>
      </c>
      <c r="F19" t="s">
        <v>29</v>
      </c>
      <c r="G19" s="8">
        <v>45458</v>
      </c>
      <c r="I19" t="s">
        <v>15</v>
      </c>
      <c r="J19" t="s">
        <v>30</v>
      </c>
      <c r="L19" t="s">
        <v>31</v>
      </c>
      <c r="N19" t="s">
        <v>95</v>
      </c>
    </row>
    <row r="20" spans="1:14" hidden="1" x14ac:dyDescent="0.3">
      <c r="A20" t="s">
        <v>12</v>
      </c>
      <c r="B20" t="s">
        <v>13</v>
      </c>
      <c r="C20" t="s">
        <v>97</v>
      </c>
      <c r="E20">
        <v>450</v>
      </c>
      <c r="F20" t="s">
        <v>14</v>
      </c>
      <c r="G20" s="8">
        <v>45458</v>
      </c>
      <c r="I20" t="s">
        <v>15</v>
      </c>
      <c r="J20" t="s">
        <v>16</v>
      </c>
      <c r="L20" t="s">
        <v>51</v>
      </c>
      <c r="N20" t="s">
        <v>99</v>
      </c>
    </row>
    <row r="21" spans="1:14" hidden="1" x14ac:dyDescent="0.3">
      <c r="A21" t="s">
        <v>12</v>
      </c>
      <c r="B21" t="s">
        <v>18</v>
      </c>
      <c r="C21" t="s">
        <v>97</v>
      </c>
      <c r="E21">
        <v>67.900000000000006</v>
      </c>
      <c r="F21" t="s">
        <v>14</v>
      </c>
      <c r="G21" s="8">
        <v>45459</v>
      </c>
      <c r="I21" t="s">
        <v>15</v>
      </c>
      <c r="J21" t="s">
        <v>20</v>
      </c>
      <c r="L21" t="s">
        <v>52</v>
      </c>
      <c r="N21" t="s">
        <v>99</v>
      </c>
    </row>
    <row r="22" spans="1:14" hidden="1" x14ac:dyDescent="0.3">
      <c r="A22" t="s">
        <v>12</v>
      </c>
      <c r="B22" t="s">
        <v>22</v>
      </c>
      <c r="C22" t="s">
        <v>97</v>
      </c>
      <c r="E22">
        <v>225</v>
      </c>
      <c r="F22" t="s">
        <v>14</v>
      </c>
      <c r="G22" s="8">
        <v>45460</v>
      </c>
      <c r="I22" t="s">
        <v>15</v>
      </c>
      <c r="J22" t="s">
        <v>38</v>
      </c>
      <c r="L22" t="s">
        <v>53</v>
      </c>
      <c r="N22" t="s">
        <v>99</v>
      </c>
    </row>
    <row r="23" spans="1:14" hidden="1" x14ac:dyDescent="0.3">
      <c r="A23" t="s">
        <v>12</v>
      </c>
      <c r="B23" t="s">
        <v>13</v>
      </c>
      <c r="C23" t="s">
        <v>97</v>
      </c>
      <c r="E23">
        <v>89.99</v>
      </c>
      <c r="F23" t="s">
        <v>14</v>
      </c>
      <c r="G23" s="8">
        <v>45461</v>
      </c>
      <c r="I23" t="s">
        <v>15</v>
      </c>
      <c r="J23" t="s">
        <v>54</v>
      </c>
      <c r="L23" t="s">
        <v>55</v>
      </c>
      <c r="N23" t="s">
        <v>99</v>
      </c>
    </row>
    <row r="24" spans="1:14" hidden="1" x14ac:dyDescent="0.3">
      <c r="A24" t="s">
        <v>12</v>
      </c>
      <c r="B24" t="s">
        <v>18</v>
      </c>
      <c r="C24" t="s">
        <v>97</v>
      </c>
      <c r="E24">
        <v>500</v>
      </c>
      <c r="F24" t="s">
        <v>29</v>
      </c>
      <c r="G24" s="8">
        <v>45462</v>
      </c>
      <c r="I24" t="s">
        <v>32</v>
      </c>
      <c r="J24" t="s">
        <v>56</v>
      </c>
      <c r="L24" t="s">
        <v>31</v>
      </c>
      <c r="N24" t="s">
        <v>99</v>
      </c>
    </row>
    <row r="25" spans="1:14" hidden="1" x14ac:dyDescent="0.3">
      <c r="A25" t="s">
        <v>12</v>
      </c>
      <c r="B25" t="s">
        <v>22</v>
      </c>
      <c r="C25" t="s">
        <v>97</v>
      </c>
      <c r="E25">
        <v>3500</v>
      </c>
      <c r="F25" t="s">
        <v>29</v>
      </c>
      <c r="G25" s="8">
        <v>45468</v>
      </c>
      <c r="I25" t="s">
        <v>35</v>
      </c>
      <c r="J25" t="s">
        <v>30</v>
      </c>
      <c r="L25" t="s">
        <v>31</v>
      </c>
      <c r="N25" t="s">
        <v>99</v>
      </c>
    </row>
    <row r="26" spans="1:14" hidden="1" x14ac:dyDescent="0.3">
      <c r="A26" t="s">
        <v>12</v>
      </c>
      <c r="B26" t="s">
        <v>13</v>
      </c>
      <c r="C26" t="s">
        <v>97</v>
      </c>
      <c r="E26">
        <v>785</v>
      </c>
      <c r="F26" t="s">
        <v>14</v>
      </c>
      <c r="G26" s="8">
        <v>45468</v>
      </c>
      <c r="I26" t="s">
        <v>15</v>
      </c>
      <c r="J26" t="s">
        <v>33</v>
      </c>
      <c r="L26" t="s">
        <v>57</v>
      </c>
      <c r="N26" t="s">
        <v>99</v>
      </c>
    </row>
    <row r="27" spans="1:14" hidden="1" x14ac:dyDescent="0.3">
      <c r="A27" t="s">
        <v>12</v>
      </c>
      <c r="B27" t="s">
        <v>18</v>
      </c>
      <c r="C27" t="s">
        <v>97</v>
      </c>
      <c r="E27">
        <v>2100</v>
      </c>
      <c r="F27" t="s">
        <v>14</v>
      </c>
      <c r="G27" s="8">
        <v>45470</v>
      </c>
      <c r="I27" t="s">
        <v>15</v>
      </c>
      <c r="J27" t="s">
        <v>36</v>
      </c>
      <c r="L27" t="s">
        <v>37</v>
      </c>
      <c r="N27" t="s">
        <v>99</v>
      </c>
    </row>
    <row r="28" spans="1:14" hidden="1" x14ac:dyDescent="0.3">
      <c r="A28" t="s">
        <v>12</v>
      </c>
      <c r="B28" t="s">
        <v>22</v>
      </c>
      <c r="C28" t="s">
        <v>97</v>
      </c>
      <c r="E28">
        <v>125</v>
      </c>
      <c r="F28" t="s">
        <v>14</v>
      </c>
      <c r="G28" s="8">
        <v>45471</v>
      </c>
      <c r="I28" t="s">
        <v>15</v>
      </c>
      <c r="J28" t="s">
        <v>25</v>
      </c>
      <c r="L28" t="s">
        <v>58</v>
      </c>
      <c r="N28" t="s">
        <v>99</v>
      </c>
    </row>
    <row r="29" spans="1:14" hidden="1" x14ac:dyDescent="0.3">
      <c r="A29" t="s">
        <v>12</v>
      </c>
      <c r="B29" t="s">
        <v>13</v>
      </c>
      <c r="C29" t="s">
        <v>97</v>
      </c>
      <c r="E29">
        <v>98.5</v>
      </c>
      <c r="F29" t="s">
        <v>14</v>
      </c>
      <c r="G29" s="8">
        <v>45472</v>
      </c>
      <c r="I29" t="s">
        <v>15</v>
      </c>
      <c r="J29" t="s">
        <v>27</v>
      </c>
      <c r="L29" t="s">
        <v>59</v>
      </c>
      <c r="N29" t="s">
        <v>99</v>
      </c>
    </row>
    <row r="30" spans="1:14" hidden="1" x14ac:dyDescent="0.3">
      <c r="A30" t="s">
        <v>12</v>
      </c>
      <c r="B30" t="s">
        <v>18</v>
      </c>
      <c r="C30" t="s">
        <v>97</v>
      </c>
      <c r="E30">
        <v>3500</v>
      </c>
      <c r="F30" t="s">
        <v>29</v>
      </c>
      <c r="G30" s="8">
        <v>45478</v>
      </c>
      <c r="I30" t="s">
        <v>15</v>
      </c>
      <c r="J30" t="s">
        <v>30</v>
      </c>
      <c r="L30" t="s">
        <v>31</v>
      </c>
      <c r="N30" t="s">
        <v>99</v>
      </c>
    </row>
    <row r="31" spans="1:14" hidden="1" x14ac:dyDescent="0.3">
      <c r="A31" t="s">
        <v>12</v>
      </c>
      <c r="B31" t="s">
        <v>22</v>
      </c>
      <c r="C31" t="s">
        <v>97</v>
      </c>
      <c r="E31">
        <v>345</v>
      </c>
      <c r="F31" t="s">
        <v>14</v>
      </c>
      <c r="G31" s="8">
        <v>45478</v>
      </c>
      <c r="I31" t="s">
        <v>15</v>
      </c>
      <c r="J31" t="s">
        <v>16</v>
      </c>
      <c r="L31" t="s">
        <v>60</v>
      </c>
      <c r="N31" t="s">
        <v>99</v>
      </c>
    </row>
    <row r="32" spans="1:14" hidden="1" x14ac:dyDescent="0.3">
      <c r="A32" t="s">
        <v>12</v>
      </c>
      <c r="B32" t="s">
        <v>13</v>
      </c>
      <c r="C32" t="s">
        <v>97</v>
      </c>
      <c r="E32">
        <v>89.75</v>
      </c>
      <c r="F32" t="s">
        <v>14</v>
      </c>
      <c r="G32" s="8">
        <v>45479</v>
      </c>
      <c r="I32" t="s">
        <v>32</v>
      </c>
      <c r="J32" t="s">
        <v>20</v>
      </c>
      <c r="L32" t="s">
        <v>21</v>
      </c>
      <c r="N32" t="s">
        <v>99</v>
      </c>
    </row>
    <row r="33" spans="1:14" hidden="1" x14ac:dyDescent="0.3">
      <c r="A33" t="s">
        <v>12</v>
      </c>
      <c r="B33" t="s">
        <v>18</v>
      </c>
      <c r="C33" t="s">
        <v>97</v>
      </c>
      <c r="E33">
        <v>1150</v>
      </c>
      <c r="F33" t="s">
        <v>14</v>
      </c>
      <c r="G33" s="8">
        <v>45480</v>
      </c>
      <c r="I33" t="s">
        <v>35</v>
      </c>
      <c r="J33" t="s">
        <v>44</v>
      </c>
      <c r="L33" t="s">
        <v>61</v>
      </c>
      <c r="N33" t="s">
        <v>99</v>
      </c>
    </row>
    <row r="34" spans="1:14" hidden="1" x14ac:dyDescent="0.3">
      <c r="A34" t="s">
        <v>12</v>
      </c>
      <c r="B34" t="s">
        <v>22</v>
      </c>
      <c r="C34" t="s">
        <v>95</v>
      </c>
      <c r="E34">
        <v>56</v>
      </c>
      <c r="F34" t="s">
        <v>14</v>
      </c>
      <c r="G34" s="8">
        <v>45481</v>
      </c>
      <c r="I34" t="s">
        <v>15</v>
      </c>
      <c r="J34" t="s">
        <v>46</v>
      </c>
      <c r="L34" t="s">
        <v>62</v>
      </c>
      <c r="N34" t="s">
        <v>99</v>
      </c>
    </row>
    <row r="35" spans="1:14" hidden="1" x14ac:dyDescent="0.3">
      <c r="A35" t="s">
        <v>12</v>
      </c>
      <c r="B35" t="s">
        <v>13</v>
      </c>
      <c r="C35" t="s">
        <v>95</v>
      </c>
      <c r="E35">
        <v>175</v>
      </c>
      <c r="F35" t="s">
        <v>14</v>
      </c>
      <c r="G35" s="8">
        <v>45482</v>
      </c>
      <c r="I35" t="s">
        <v>15</v>
      </c>
      <c r="J35" t="s">
        <v>63</v>
      </c>
      <c r="L35" t="s">
        <v>64</v>
      </c>
      <c r="N35" t="s">
        <v>99</v>
      </c>
    </row>
    <row r="36" spans="1:14" hidden="1" x14ac:dyDescent="0.3">
      <c r="A36" t="s">
        <v>12</v>
      </c>
      <c r="B36" t="s">
        <v>18</v>
      </c>
      <c r="C36" t="s">
        <v>95</v>
      </c>
      <c r="E36">
        <v>125</v>
      </c>
      <c r="F36" t="s">
        <v>14</v>
      </c>
      <c r="G36" s="8">
        <v>45483</v>
      </c>
      <c r="I36" t="s">
        <v>15</v>
      </c>
      <c r="J36" t="s">
        <v>42</v>
      </c>
      <c r="L36" t="s">
        <v>65</v>
      </c>
      <c r="N36" t="s">
        <v>99</v>
      </c>
    </row>
    <row r="37" spans="1:14" hidden="1" x14ac:dyDescent="0.3">
      <c r="A37" t="s">
        <v>12</v>
      </c>
      <c r="B37" t="s">
        <v>22</v>
      </c>
      <c r="C37" t="s">
        <v>95</v>
      </c>
      <c r="E37">
        <v>3500</v>
      </c>
      <c r="F37" t="s">
        <v>29</v>
      </c>
      <c r="G37" s="8">
        <v>45488</v>
      </c>
      <c r="I37" t="s">
        <v>15</v>
      </c>
      <c r="J37" t="s">
        <v>30</v>
      </c>
      <c r="L37" t="s">
        <v>31</v>
      </c>
      <c r="N37" t="s">
        <v>99</v>
      </c>
    </row>
    <row r="38" spans="1:14" hidden="1" x14ac:dyDescent="0.3">
      <c r="A38" t="s">
        <v>12</v>
      </c>
      <c r="B38" t="s">
        <v>13</v>
      </c>
      <c r="C38" t="s">
        <v>95</v>
      </c>
      <c r="E38">
        <v>520</v>
      </c>
      <c r="F38" t="s">
        <v>14</v>
      </c>
      <c r="G38" s="8">
        <v>45488</v>
      </c>
      <c r="I38" t="s">
        <v>15</v>
      </c>
      <c r="J38" t="s">
        <v>16</v>
      </c>
      <c r="L38" t="s">
        <v>66</v>
      </c>
      <c r="N38" t="s">
        <v>99</v>
      </c>
    </row>
    <row r="39" spans="1:14" hidden="1" x14ac:dyDescent="0.3">
      <c r="A39" t="s">
        <v>12</v>
      </c>
      <c r="B39" t="s">
        <v>18</v>
      </c>
      <c r="C39" t="s">
        <v>95</v>
      </c>
      <c r="E39">
        <v>95.5</v>
      </c>
      <c r="F39" t="s">
        <v>14</v>
      </c>
      <c r="G39" s="8">
        <v>45489</v>
      </c>
      <c r="I39" t="s">
        <v>15</v>
      </c>
      <c r="J39" t="s">
        <v>20</v>
      </c>
      <c r="L39" t="s">
        <v>40</v>
      </c>
      <c r="N39" t="s">
        <v>99</v>
      </c>
    </row>
    <row r="40" spans="1:14" hidden="1" x14ac:dyDescent="0.3">
      <c r="A40" t="s">
        <v>12</v>
      </c>
      <c r="B40" t="s">
        <v>22</v>
      </c>
      <c r="C40" t="s">
        <v>95</v>
      </c>
      <c r="E40">
        <v>450</v>
      </c>
      <c r="F40" t="s">
        <v>14</v>
      </c>
      <c r="G40" s="8">
        <v>45490</v>
      </c>
      <c r="I40" t="s">
        <v>32</v>
      </c>
      <c r="J40" t="s">
        <v>23</v>
      </c>
      <c r="L40" t="s">
        <v>67</v>
      </c>
      <c r="N40" t="s">
        <v>99</v>
      </c>
    </row>
    <row r="41" spans="1:14" hidden="1" x14ac:dyDescent="0.3">
      <c r="A41" t="s">
        <v>12</v>
      </c>
      <c r="B41" t="s">
        <v>13</v>
      </c>
      <c r="C41" t="s">
        <v>95</v>
      </c>
      <c r="E41">
        <v>78</v>
      </c>
      <c r="F41" t="s">
        <v>14</v>
      </c>
      <c r="G41" s="8">
        <v>45491</v>
      </c>
      <c r="I41" t="s">
        <v>35</v>
      </c>
      <c r="J41" t="s">
        <v>25</v>
      </c>
      <c r="L41" t="s">
        <v>26</v>
      </c>
      <c r="N41" t="s">
        <v>99</v>
      </c>
    </row>
    <row r="42" spans="1:14" hidden="1" x14ac:dyDescent="0.3">
      <c r="A42" t="s">
        <v>12</v>
      </c>
      <c r="B42" t="s">
        <v>18</v>
      </c>
      <c r="C42" t="s">
        <v>95</v>
      </c>
      <c r="E42">
        <v>189.5</v>
      </c>
      <c r="F42" t="s">
        <v>14</v>
      </c>
      <c r="G42" s="8">
        <v>45492</v>
      </c>
      <c r="I42" t="s">
        <v>15</v>
      </c>
      <c r="J42" t="s">
        <v>27</v>
      </c>
      <c r="L42" t="s">
        <v>68</v>
      </c>
      <c r="N42" t="s">
        <v>99</v>
      </c>
    </row>
    <row r="43" spans="1:14" hidden="1" x14ac:dyDescent="0.3">
      <c r="A43" t="s">
        <v>12</v>
      </c>
      <c r="B43" t="s">
        <v>22</v>
      </c>
      <c r="C43" t="s">
        <v>95</v>
      </c>
      <c r="E43">
        <v>3500</v>
      </c>
      <c r="F43" t="s">
        <v>29</v>
      </c>
      <c r="G43" s="8">
        <v>45498</v>
      </c>
      <c r="I43" t="s">
        <v>15</v>
      </c>
      <c r="J43" t="s">
        <v>30</v>
      </c>
      <c r="L43" t="s">
        <v>31</v>
      </c>
      <c r="N43" t="s">
        <v>99</v>
      </c>
    </row>
    <row r="44" spans="1:14" hidden="1" x14ac:dyDescent="0.3">
      <c r="A44" t="s">
        <v>12</v>
      </c>
      <c r="B44" t="s">
        <v>13</v>
      </c>
      <c r="C44" t="s">
        <v>95</v>
      </c>
      <c r="E44">
        <v>650</v>
      </c>
      <c r="F44" t="s">
        <v>14</v>
      </c>
      <c r="G44" s="8">
        <v>45498</v>
      </c>
      <c r="I44" t="s">
        <v>15</v>
      </c>
      <c r="J44" t="s">
        <v>33</v>
      </c>
      <c r="L44" t="s">
        <v>69</v>
      </c>
      <c r="N44" t="s">
        <v>99</v>
      </c>
    </row>
    <row r="45" spans="1:14" hidden="1" x14ac:dyDescent="0.3">
      <c r="A45" t="s">
        <v>12</v>
      </c>
      <c r="B45" t="s">
        <v>18</v>
      </c>
      <c r="C45" t="s">
        <v>95</v>
      </c>
      <c r="E45">
        <v>2100</v>
      </c>
      <c r="F45" t="s">
        <v>14</v>
      </c>
      <c r="G45" s="8">
        <v>45500</v>
      </c>
      <c r="I45" t="s">
        <v>15</v>
      </c>
      <c r="J45" t="s">
        <v>36</v>
      </c>
      <c r="L45" t="s">
        <v>37</v>
      </c>
      <c r="N45" t="s">
        <v>99</v>
      </c>
    </row>
    <row r="46" spans="1:14" hidden="1" x14ac:dyDescent="0.3">
      <c r="A46" t="s">
        <v>12</v>
      </c>
      <c r="B46" t="s">
        <v>22</v>
      </c>
      <c r="C46" t="s">
        <v>95</v>
      </c>
      <c r="E46">
        <v>145</v>
      </c>
      <c r="F46" t="s">
        <v>14</v>
      </c>
      <c r="G46" s="8">
        <v>45501</v>
      </c>
      <c r="I46" t="s">
        <v>15</v>
      </c>
      <c r="J46" t="s">
        <v>38</v>
      </c>
      <c r="L46" t="s">
        <v>70</v>
      </c>
      <c r="N46" t="s">
        <v>99</v>
      </c>
    </row>
    <row r="47" spans="1:14" hidden="1" x14ac:dyDescent="0.3">
      <c r="A47" t="s">
        <v>12</v>
      </c>
      <c r="B47" t="s">
        <v>13</v>
      </c>
      <c r="C47" t="s">
        <v>95</v>
      </c>
      <c r="E47">
        <v>67.8</v>
      </c>
      <c r="F47" t="s">
        <v>14</v>
      </c>
      <c r="G47" s="8">
        <v>45502</v>
      </c>
      <c r="I47" t="s">
        <v>15</v>
      </c>
      <c r="J47" t="s">
        <v>20</v>
      </c>
      <c r="L47" t="s">
        <v>52</v>
      </c>
      <c r="N47" t="s">
        <v>99</v>
      </c>
    </row>
    <row r="48" spans="1:14" hidden="1" x14ac:dyDescent="0.3">
      <c r="A48" t="s">
        <v>12</v>
      </c>
      <c r="B48" t="s">
        <v>18</v>
      </c>
      <c r="C48" t="s">
        <v>95</v>
      </c>
      <c r="E48">
        <v>3500</v>
      </c>
      <c r="F48" t="s">
        <v>29</v>
      </c>
      <c r="G48" s="8">
        <v>45509</v>
      </c>
      <c r="I48" t="s">
        <v>71</v>
      </c>
      <c r="J48" t="s">
        <v>30</v>
      </c>
      <c r="L48" t="s">
        <v>31</v>
      </c>
      <c r="N48" t="s">
        <v>99</v>
      </c>
    </row>
    <row r="49" spans="1:14" hidden="1" x14ac:dyDescent="0.3">
      <c r="A49" t="s">
        <v>12</v>
      </c>
      <c r="B49" t="s">
        <v>22</v>
      </c>
      <c r="C49" t="s">
        <v>95</v>
      </c>
      <c r="E49">
        <v>275</v>
      </c>
      <c r="F49" t="s">
        <v>14</v>
      </c>
      <c r="G49" s="8">
        <v>45509</v>
      </c>
      <c r="I49" t="s">
        <v>35</v>
      </c>
      <c r="J49" t="s">
        <v>16</v>
      </c>
      <c r="L49" t="s">
        <v>72</v>
      </c>
      <c r="N49" t="s">
        <v>99</v>
      </c>
    </row>
    <row r="50" spans="1:14" hidden="1" x14ac:dyDescent="0.3">
      <c r="A50" t="s">
        <v>12</v>
      </c>
      <c r="B50" t="s">
        <v>13</v>
      </c>
      <c r="C50" t="s">
        <v>95</v>
      </c>
      <c r="E50">
        <v>125</v>
      </c>
      <c r="F50" t="s">
        <v>14</v>
      </c>
      <c r="G50" s="8">
        <v>45510</v>
      </c>
      <c r="I50" t="s">
        <v>73</v>
      </c>
      <c r="J50" t="s">
        <v>42</v>
      </c>
      <c r="L50" t="s">
        <v>74</v>
      </c>
      <c r="N50" t="s">
        <v>99</v>
      </c>
    </row>
    <row r="51" spans="1:14" hidden="1" x14ac:dyDescent="0.3">
      <c r="A51" t="s">
        <v>12</v>
      </c>
      <c r="B51" t="s">
        <v>18</v>
      </c>
      <c r="C51" t="s">
        <v>95</v>
      </c>
      <c r="E51">
        <v>950</v>
      </c>
      <c r="F51" t="s">
        <v>14</v>
      </c>
      <c r="G51" s="8">
        <v>45511</v>
      </c>
      <c r="I51" t="s">
        <v>75</v>
      </c>
      <c r="J51" t="s">
        <v>44</v>
      </c>
      <c r="L51" t="s">
        <v>76</v>
      </c>
      <c r="N51" t="s">
        <v>99</v>
      </c>
    </row>
    <row r="52" spans="1:14" hidden="1" x14ac:dyDescent="0.3">
      <c r="A52" t="s">
        <v>12</v>
      </c>
      <c r="B52" t="s">
        <v>22</v>
      </c>
      <c r="C52" t="s">
        <v>95</v>
      </c>
      <c r="E52">
        <v>45</v>
      </c>
      <c r="F52" t="s">
        <v>14</v>
      </c>
      <c r="G52" s="8">
        <v>45512</v>
      </c>
      <c r="I52" t="s">
        <v>73</v>
      </c>
      <c r="J52" t="s">
        <v>46</v>
      </c>
      <c r="L52" t="s">
        <v>47</v>
      </c>
      <c r="N52" t="s">
        <v>99</v>
      </c>
    </row>
    <row r="53" spans="1:14" hidden="1" x14ac:dyDescent="0.3">
      <c r="A53" t="s">
        <v>12</v>
      </c>
      <c r="B53" t="s">
        <v>13</v>
      </c>
      <c r="C53" t="s">
        <v>95</v>
      </c>
      <c r="E53">
        <v>199.99</v>
      </c>
      <c r="F53" t="s">
        <v>14</v>
      </c>
      <c r="G53" s="8">
        <v>45513</v>
      </c>
      <c r="I53" t="s">
        <v>73</v>
      </c>
      <c r="J53" t="s">
        <v>48</v>
      </c>
      <c r="L53" t="s">
        <v>77</v>
      </c>
      <c r="N53" t="s">
        <v>99</v>
      </c>
    </row>
    <row r="54" spans="1:14" hidden="1" x14ac:dyDescent="0.3">
      <c r="A54" t="s">
        <v>12</v>
      </c>
      <c r="B54" t="s">
        <v>18</v>
      </c>
      <c r="C54" t="s">
        <v>95</v>
      </c>
      <c r="E54">
        <v>89</v>
      </c>
      <c r="F54" t="s">
        <v>14</v>
      </c>
      <c r="G54" s="8">
        <v>45514</v>
      </c>
      <c r="I54" t="s">
        <v>73</v>
      </c>
      <c r="J54" t="s">
        <v>27</v>
      </c>
      <c r="L54" t="s">
        <v>78</v>
      </c>
      <c r="N54" t="s">
        <v>99</v>
      </c>
    </row>
    <row r="55" spans="1:14" hidden="1" x14ac:dyDescent="0.3">
      <c r="A55" t="s">
        <v>12</v>
      </c>
      <c r="B55" t="s">
        <v>22</v>
      </c>
      <c r="C55" t="s">
        <v>95</v>
      </c>
      <c r="E55">
        <v>3500</v>
      </c>
      <c r="F55" t="s">
        <v>29</v>
      </c>
      <c r="G55" s="8">
        <v>45519</v>
      </c>
      <c r="I55" t="s">
        <v>71</v>
      </c>
      <c r="J55" t="s">
        <v>30</v>
      </c>
      <c r="L55" t="s">
        <v>31</v>
      </c>
      <c r="N55" t="s">
        <v>99</v>
      </c>
    </row>
    <row r="56" spans="1:14" hidden="1" x14ac:dyDescent="0.3">
      <c r="A56" t="s">
        <v>12</v>
      </c>
      <c r="B56" t="s">
        <v>13</v>
      </c>
      <c r="C56" t="s">
        <v>95</v>
      </c>
      <c r="E56">
        <v>425</v>
      </c>
      <c r="F56" t="s">
        <v>14</v>
      </c>
      <c r="G56" s="8">
        <v>45519</v>
      </c>
      <c r="I56" t="s">
        <v>73</v>
      </c>
      <c r="J56" t="s">
        <v>16</v>
      </c>
      <c r="L56" t="s">
        <v>79</v>
      </c>
      <c r="N56" t="s">
        <v>99</v>
      </c>
    </row>
    <row r="57" spans="1:14" hidden="1" x14ac:dyDescent="0.3">
      <c r="A57" t="s">
        <v>12</v>
      </c>
      <c r="B57" t="s">
        <v>18</v>
      </c>
      <c r="C57" t="s">
        <v>95</v>
      </c>
      <c r="E57">
        <v>78.900000000000006</v>
      </c>
      <c r="F57" t="s">
        <v>14</v>
      </c>
      <c r="G57" s="8">
        <v>45520</v>
      </c>
      <c r="I57" t="s">
        <v>73</v>
      </c>
      <c r="J57" t="s">
        <v>20</v>
      </c>
      <c r="L57" t="s">
        <v>21</v>
      </c>
      <c r="N57" t="s">
        <v>99</v>
      </c>
    </row>
    <row r="58" spans="1:14" hidden="1" x14ac:dyDescent="0.3">
      <c r="A58" t="s">
        <v>12</v>
      </c>
      <c r="B58" t="s">
        <v>22</v>
      </c>
      <c r="C58" t="s">
        <v>95</v>
      </c>
      <c r="E58">
        <v>200</v>
      </c>
      <c r="F58" t="s">
        <v>14</v>
      </c>
      <c r="G58" s="8">
        <v>45521</v>
      </c>
      <c r="I58" t="s">
        <v>75</v>
      </c>
      <c r="J58" t="s">
        <v>38</v>
      </c>
      <c r="L58" t="s">
        <v>39</v>
      </c>
      <c r="N58" t="s">
        <v>99</v>
      </c>
    </row>
    <row r="59" spans="1:14" hidden="1" x14ac:dyDescent="0.3">
      <c r="A59" t="s">
        <v>12</v>
      </c>
      <c r="B59" t="s">
        <v>13</v>
      </c>
      <c r="C59" t="s">
        <v>95</v>
      </c>
      <c r="E59">
        <v>95</v>
      </c>
      <c r="F59" t="s">
        <v>14</v>
      </c>
      <c r="G59" s="8">
        <v>45522</v>
      </c>
      <c r="I59" t="s">
        <v>73</v>
      </c>
      <c r="J59" t="s">
        <v>25</v>
      </c>
      <c r="L59" t="s">
        <v>58</v>
      </c>
      <c r="N59" t="s">
        <v>99</v>
      </c>
    </row>
    <row r="60" spans="1:14" hidden="1" x14ac:dyDescent="0.3">
      <c r="A60" t="s">
        <v>12</v>
      </c>
      <c r="B60" t="s">
        <v>18</v>
      </c>
      <c r="C60" t="s">
        <v>95</v>
      </c>
      <c r="E60">
        <v>320</v>
      </c>
      <c r="F60" t="s">
        <v>14</v>
      </c>
      <c r="G60" s="8">
        <v>45523</v>
      </c>
      <c r="I60" t="s">
        <v>73</v>
      </c>
      <c r="J60" t="s">
        <v>63</v>
      </c>
      <c r="L60" t="s">
        <v>80</v>
      </c>
      <c r="N60" t="s">
        <v>99</v>
      </c>
    </row>
    <row r="61" spans="1:14" hidden="1" x14ac:dyDescent="0.3">
      <c r="A61" t="s">
        <v>12</v>
      </c>
      <c r="B61" t="s">
        <v>22</v>
      </c>
      <c r="C61" t="s">
        <v>95</v>
      </c>
      <c r="E61">
        <v>3500</v>
      </c>
      <c r="F61" t="s">
        <v>29</v>
      </c>
      <c r="G61" s="8">
        <v>45529</v>
      </c>
      <c r="I61" t="s">
        <v>71</v>
      </c>
      <c r="J61" t="s">
        <v>30</v>
      </c>
      <c r="L61" t="s">
        <v>31</v>
      </c>
      <c r="N61" t="s">
        <v>99</v>
      </c>
    </row>
    <row r="62" spans="1:14" hidden="1" x14ac:dyDescent="0.3">
      <c r="A62" t="s">
        <v>12</v>
      </c>
      <c r="B62" t="s">
        <v>13</v>
      </c>
      <c r="C62" t="s">
        <v>95</v>
      </c>
      <c r="E62">
        <v>540</v>
      </c>
      <c r="F62" t="s">
        <v>14</v>
      </c>
      <c r="G62" s="8">
        <v>45529</v>
      </c>
      <c r="I62" t="s">
        <v>73</v>
      </c>
      <c r="J62" t="s">
        <v>33</v>
      </c>
      <c r="L62" t="s">
        <v>81</v>
      </c>
      <c r="N62" t="s">
        <v>99</v>
      </c>
    </row>
    <row r="63" spans="1:14" hidden="1" x14ac:dyDescent="0.3">
      <c r="A63" t="s">
        <v>12</v>
      </c>
      <c r="B63" t="s">
        <v>18</v>
      </c>
      <c r="C63" t="s">
        <v>95</v>
      </c>
      <c r="E63">
        <v>2100</v>
      </c>
      <c r="F63" t="s">
        <v>14</v>
      </c>
      <c r="G63" s="8">
        <v>45531</v>
      </c>
      <c r="I63" t="s">
        <v>75</v>
      </c>
      <c r="J63" t="s">
        <v>36</v>
      </c>
      <c r="L63" t="s">
        <v>37</v>
      </c>
      <c r="N63" t="s">
        <v>99</v>
      </c>
    </row>
    <row r="64" spans="1:14" hidden="1" x14ac:dyDescent="0.3">
      <c r="A64" t="s">
        <v>12</v>
      </c>
      <c r="B64" t="s">
        <v>22</v>
      </c>
      <c r="C64" t="s">
        <v>95</v>
      </c>
      <c r="E64">
        <v>125</v>
      </c>
      <c r="F64" t="s">
        <v>14</v>
      </c>
      <c r="G64" s="8">
        <v>45532</v>
      </c>
      <c r="I64" t="s">
        <v>73</v>
      </c>
      <c r="J64" t="s">
        <v>42</v>
      </c>
      <c r="L64" t="s">
        <v>82</v>
      </c>
      <c r="N64" t="s">
        <v>99</v>
      </c>
    </row>
    <row r="65" spans="1:14" hidden="1" x14ac:dyDescent="0.3">
      <c r="A65" t="s">
        <v>12</v>
      </c>
      <c r="B65" t="s">
        <v>13</v>
      </c>
      <c r="C65" t="s">
        <v>95</v>
      </c>
      <c r="E65">
        <v>98.5</v>
      </c>
      <c r="F65" t="s">
        <v>14</v>
      </c>
      <c r="G65" s="8">
        <v>45533</v>
      </c>
      <c r="I65" t="s">
        <v>73</v>
      </c>
      <c r="J65" t="s">
        <v>27</v>
      </c>
      <c r="L65" t="s">
        <v>83</v>
      </c>
      <c r="N65" t="s">
        <v>99</v>
      </c>
    </row>
    <row r="66" spans="1:14" hidden="1" x14ac:dyDescent="0.3">
      <c r="A66" t="s">
        <v>12</v>
      </c>
      <c r="B66" t="s">
        <v>18</v>
      </c>
      <c r="C66" t="s">
        <v>95</v>
      </c>
      <c r="E66">
        <v>3500</v>
      </c>
      <c r="F66" t="s">
        <v>29</v>
      </c>
      <c r="G66" s="8">
        <v>45540</v>
      </c>
      <c r="I66" t="s">
        <v>71</v>
      </c>
      <c r="J66" t="s">
        <v>30</v>
      </c>
      <c r="L66" t="s">
        <v>31</v>
      </c>
      <c r="N66" t="s">
        <v>99</v>
      </c>
    </row>
    <row r="67" spans="1:14" hidden="1" x14ac:dyDescent="0.3">
      <c r="A67" t="s">
        <v>12</v>
      </c>
      <c r="B67" t="s">
        <v>22</v>
      </c>
      <c r="C67" t="s">
        <v>95</v>
      </c>
      <c r="E67">
        <v>385</v>
      </c>
      <c r="F67" t="s">
        <v>14</v>
      </c>
      <c r="G67" s="8">
        <v>45540</v>
      </c>
      <c r="I67" t="s">
        <v>73</v>
      </c>
      <c r="J67" t="s">
        <v>16</v>
      </c>
      <c r="L67" t="s">
        <v>84</v>
      </c>
      <c r="N67" t="s">
        <v>99</v>
      </c>
    </row>
    <row r="68" spans="1:14" hidden="1" x14ac:dyDescent="0.3">
      <c r="A68" t="s">
        <v>12</v>
      </c>
      <c r="B68" t="s">
        <v>13</v>
      </c>
      <c r="C68" t="s">
        <v>95</v>
      </c>
      <c r="E68">
        <v>89.75</v>
      </c>
      <c r="F68" t="s">
        <v>14</v>
      </c>
      <c r="G68" s="8">
        <v>45541</v>
      </c>
      <c r="I68" t="s">
        <v>73</v>
      </c>
      <c r="J68" t="s">
        <v>20</v>
      </c>
      <c r="L68" t="s">
        <v>52</v>
      </c>
      <c r="N68" t="s">
        <v>99</v>
      </c>
    </row>
    <row r="69" spans="1:14" hidden="1" x14ac:dyDescent="0.3">
      <c r="A69" t="s">
        <v>12</v>
      </c>
      <c r="B69" t="s">
        <v>18</v>
      </c>
      <c r="C69" t="s">
        <v>95</v>
      </c>
      <c r="E69">
        <v>1250</v>
      </c>
      <c r="F69" t="s">
        <v>14</v>
      </c>
      <c r="G69" s="8">
        <v>45542</v>
      </c>
      <c r="I69" t="s">
        <v>75</v>
      </c>
      <c r="J69" t="s">
        <v>44</v>
      </c>
      <c r="L69" t="s">
        <v>85</v>
      </c>
      <c r="N69" t="s">
        <v>99</v>
      </c>
    </row>
    <row r="70" spans="1:14" hidden="1" x14ac:dyDescent="0.3">
      <c r="A70" t="s">
        <v>12</v>
      </c>
      <c r="B70" t="s">
        <v>22</v>
      </c>
      <c r="C70" t="s">
        <v>95</v>
      </c>
      <c r="E70">
        <v>67</v>
      </c>
      <c r="F70" t="s">
        <v>14</v>
      </c>
      <c r="G70" s="8">
        <v>45543</v>
      </c>
      <c r="I70" t="s">
        <v>73</v>
      </c>
      <c r="J70" t="s">
        <v>46</v>
      </c>
      <c r="L70" t="s">
        <v>62</v>
      </c>
      <c r="N70" t="s">
        <v>99</v>
      </c>
    </row>
    <row r="71" spans="1:14" hidden="1" x14ac:dyDescent="0.3">
      <c r="A71" t="s">
        <v>12</v>
      </c>
      <c r="B71" t="s">
        <v>13</v>
      </c>
      <c r="C71" t="s">
        <v>95</v>
      </c>
      <c r="E71">
        <v>175</v>
      </c>
      <c r="F71" t="s">
        <v>14</v>
      </c>
      <c r="G71" s="8">
        <v>45544</v>
      </c>
      <c r="I71" t="s">
        <v>73</v>
      </c>
      <c r="J71" t="s">
        <v>25</v>
      </c>
      <c r="L71" t="s">
        <v>86</v>
      </c>
      <c r="N71" t="s">
        <v>99</v>
      </c>
    </row>
    <row r="72" spans="1:14" hidden="1" x14ac:dyDescent="0.3">
      <c r="A72" t="s">
        <v>12</v>
      </c>
      <c r="B72" t="s">
        <v>18</v>
      </c>
      <c r="C72" t="s">
        <v>95</v>
      </c>
      <c r="E72">
        <v>125</v>
      </c>
      <c r="F72" t="s">
        <v>14</v>
      </c>
      <c r="G72" s="8">
        <v>45545</v>
      </c>
      <c r="I72" t="s">
        <v>73</v>
      </c>
      <c r="J72" t="s">
        <v>42</v>
      </c>
      <c r="L72" t="s">
        <v>43</v>
      </c>
      <c r="N72" t="s">
        <v>99</v>
      </c>
    </row>
    <row r="73" spans="1:14" hidden="1" x14ac:dyDescent="0.3">
      <c r="A73" t="s">
        <v>12</v>
      </c>
      <c r="B73" t="s">
        <v>22</v>
      </c>
      <c r="C73" t="s">
        <v>95</v>
      </c>
      <c r="E73">
        <v>3500</v>
      </c>
      <c r="F73" t="s">
        <v>29</v>
      </c>
      <c r="G73" s="8">
        <v>45550</v>
      </c>
      <c r="I73" t="s">
        <v>35</v>
      </c>
      <c r="J73" t="s">
        <v>30</v>
      </c>
      <c r="L73" t="s">
        <v>31</v>
      </c>
      <c r="N73" t="s">
        <v>99</v>
      </c>
    </row>
    <row r="74" spans="1:14" hidden="1" x14ac:dyDescent="0.3">
      <c r="A74" t="s">
        <v>12</v>
      </c>
      <c r="B74" t="s">
        <v>13</v>
      </c>
      <c r="C74" t="s">
        <v>95</v>
      </c>
      <c r="E74">
        <v>495</v>
      </c>
      <c r="F74" t="s">
        <v>14</v>
      </c>
      <c r="G74" s="8">
        <v>45550</v>
      </c>
      <c r="I74" t="s">
        <v>73</v>
      </c>
      <c r="J74" t="s">
        <v>16</v>
      </c>
      <c r="L74" t="s">
        <v>87</v>
      </c>
      <c r="N74" t="s">
        <v>99</v>
      </c>
    </row>
    <row r="75" spans="1:14" hidden="1" x14ac:dyDescent="0.3">
      <c r="A75" t="s">
        <v>12</v>
      </c>
      <c r="B75" t="s">
        <v>18</v>
      </c>
      <c r="C75" t="s">
        <v>95</v>
      </c>
      <c r="E75">
        <v>95.5</v>
      </c>
      <c r="F75" t="s">
        <v>14</v>
      </c>
      <c r="G75" s="8">
        <v>45551</v>
      </c>
      <c r="I75" t="s">
        <v>73</v>
      </c>
      <c r="J75" t="s">
        <v>20</v>
      </c>
      <c r="L75" t="s">
        <v>21</v>
      </c>
      <c r="N75" t="s">
        <v>99</v>
      </c>
    </row>
    <row r="76" spans="1:14" hidden="1" x14ac:dyDescent="0.3">
      <c r="A76" t="s">
        <v>12</v>
      </c>
      <c r="B76" t="s">
        <v>22</v>
      </c>
      <c r="C76" t="s">
        <v>95</v>
      </c>
      <c r="E76">
        <v>450</v>
      </c>
      <c r="F76" t="s">
        <v>14</v>
      </c>
      <c r="G76" s="8">
        <v>45552</v>
      </c>
      <c r="I76" t="s">
        <v>75</v>
      </c>
      <c r="J76" t="s">
        <v>23</v>
      </c>
      <c r="L76" t="s">
        <v>88</v>
      </c>
      <c r="N76" t="s">
        <v>99</v>
      </c>
    </row>
    <row r="77" spans="1:14" hidden="1" x14ac:dyDescent="0.3">
      <c r="A77" t="s">
        <v>12</v>
      </c>
      <c r="B77" t="s">
        <v>13</v>
      </c>
      <c r="C77" t="s">
        <v>95</v>
      </c>
      <c r="E77">
        <v>78</v>
      </c>
      <c r="F77" t="s">
        <v>14</v>
      </c>
      <c r="G77" s="8">
        <v>45553</v>
      </c>
      <c r="I77" t="s">
        <v>73</v>
      </c>
      <c r="J77" t="s">
        <v>25</v>
      </c>
      <c r="L77" t="s">
        <v>26</v>
      </c>
      <c r="N77" t="s">
        <v>99</v>
      </c>
    </row>
    <row r="78" spans="1:14" hidden="1" x14ac:dyDescent="0.3">
      <c r="A78" t="s">
        <v>12</v>
      </c>
      <c r="B78" t="s">
        <v>18</v>
      </c>
      <c r="C78" t="s">
        <v>95</v>
      </c>
      <c r="E78">
        <v>235</v>
      </c>
      <c r="F78" t="s">
        <v>14</v>
      </c>
      <c r="G78" s="8">
        <v>45554</v>
      </c>
      <c r="I78" t="s">
        <v>73</v>
      </c>
      <c r="J78" t="s">
        <v>27</v>
      </c>
      <c r="L78" t="s">
        <v>89</v>
      </c>
      <c r="N78" t="s">
        <v>99</v>
      </c>
    </row>
    <row r="79" spans="1:14" hidden="1" x14ac:dyDescent="0.3">
      <c r="A79" t="s">
        <v>12</v>
      </c>
      <c r="B79" t="s">
        <v>22</v>
      </c>
      <c r="C79" t="s">
        <v>95</v>
      </c>
      <c r="E79">
        <v>3500</v>
      </c>
      <c r="F79" t="s">
        <v>29</v>
      </c>
      <c r="G79" s="8">
        <v>45560</v>
      </c>
      <c r="I79" t="s">
        <v>35</v>
      </c>
      <c r="J79" t="s">
        <v>30</v>
      </c>
      <c r="L79" t="s">
        <v>31</v>
      </c>
      <c r="N79" t="s">
        <v>99</v>
      </c>
    </row>
    <row r="80" spans="1:14" hidden="1" x14ac:dyDescent="0.3">
      <c r="A80" t="s">
        <v>12</v>
      </c>
      <c r="B80" t="s">
        <v>13</v>
      </c>
      <c r="C80" t="s">
        <v>95</v>
      </c>
      <c r="E80">
        <v>720</v>
      </c>
      <c r="F80" t="s">
        <v>14</v>
      </c>
      <c r="G80" s="8">
        <v>45560</v>
      </c>
      <c r="I80" t="s">
        <v>73</v>
      </c>
      <c r="J80" t="s">
        <v>33</v>
      </c>
      <c r="L80" t="s">
        <v>90</v>
      </c>
      <c r="N80" t="s">
        <v>99</v>
      </c>
    </row>
    <row r="81" spans="1:14" hidden="1" x14ac:dyDescent="0.3">
      <c r="A81" t="s">
        <v>12</v>
      </c>
      <c r="B81" t="s">
        <v>18</v>
      </c>
      <c r="C81" t="s">
        <v>95</v>
      </c>
      <c r="E81">
        <v>2100</v>
      </c>
      <c r="F81" t="s">
        <v>14</v>
      </c>
      <c r="G81" s="8">
        <v>45562</v>
      </c>
      <c r="I81" t="s">
        <v>75</v>
      </c>
      <c r="J81" t="s">
        <v>36</v>
      </c>
      <c r="L81" t="s">
        <v>37</v>
      </c>
      <c r="N81" t="s">
        <v>99</v>
      </c>
    </row>
    <row r="82" spans="1:14" hidden="1" x14ac:dyDescent="0.3">
      <c r="A82" t="s">
        <v>12</v>
      </c>
      <c r="B82" t="s">
        <v>22</v>
      </c>
      <c r="C82" t="s">
        <v>95</v>
      </c>
      <c r="E82">
        <v>145</v>
      </c>
      <c r="F82" t="s">
        <v>14</v>
      </c>
      <c r="G82" s="8">
        <v>45563</v>
      </c>
      <c r="I82" t="s">
        <v>73</v>
      </c>
      <c r="J82" t="s">
        <v>38</v>
      </c>
      <c r="L82" t="s">
        <v>53</v>
      </c>
      <c r="N82" t="s">
        <v>99</v>
      </c>
    </row>
    <row r="83" spans="1:14" hidden="1" x14ac:dyDescent="0.3">
      <c r="A83" t="s">
        <v>12</v>
      </c>
      <c r="B83" t="s">
        <v>13</v>
      </c>
      <c r="C83" t="s">
        <v>95</v>
      </c>
      <c r="E83">
        <v>67.8</v>
      </c>
      <c r="F83" t="s">
        <v>14</v>
      </c>
      <c r="G83" s="8">
        <v>45564</v>
      </c>
      <c r="I83" t="s">
        <v>73</v>
      </c>
      <c r="J83" t="s">
        <v>20</v>
      </c>
      <c r="L83" t="s">
        <v>40</v>
      </c>
      <c r="N83" t="s">
        <v>99</v>
      </c>
    </row>
    <row r="84" spans="1:14" hidden="1" x14ac:dyDescent="0.3">
      <c r="A84" t="s">
        <v>12</v>
      </c>
      <c r="B84" t="s">
        <v>18</v>
      </c>
      <c r="C84" t="s">
        <v>95</v>
      </c>
      <c r="E84">
        <v>3500</v>
      </c>
      <c r="F84" t="s">
        <v>29</v>
      </c>
      <c r="G84" s="8">
        <v>45570</v>
      </c>
      <c r="I84" t="s">
        <v>35</v>
      </c>
      <c r="J84" t="s">
        <v>30</v>
      </c>
      <c r="L84" t="s">
        <v>31</v>
      </c>
      <c r="N84" t="s">
        <v>99</v>
      </c>
    </row>
    <row r="85" spans="1:14" hidden="1" x14ac:dyDescent="0.3">
      <c r="A85" t="s">
        <v>12</v>
      </c>
      <c r="B85" t="s">
        <v>22</v>
      </c>
      <c r="C85" t="s">
        <v>95</v>
      </c>
      <c r="E85">
        <v>340</v>
      </c>
      <c r="F85" t="s">
        <v>14</v>
      </c>
      <c r="G85" s="8">
        <v>45570</v>
      </c>
      <c r="I85" t="s">
        <v>73</v>
      </c>
      <c r="J85" t="s">
        <v>16</v>
      </c>
      <c r="L85" t="s">
        <v>91</v>
      </c>
      <c r="N85" t="s">
        <v>99</v>
      </c>
    </row>
    <row r="86" spans="1:14" hidden="1" x14ac:dyDescent="0.3">
      <c r="A86" t="s">
        <v>12</v>
      </c>
      <c r="B86" t="s">
        <v>13</v>
      </c>
      <c r="C86" t="s">
        <v>95</v>
      </c>
      <c r="E86">
        <v>125</v>
      </c>
      <c r="F86" t="s">
        <v>14</v>
      </c>
      <c r="G86" s="8">
        <v>45571</v>
      </c>
      <c r="I86" t="s">
        <v>73</v>
      </c>
      <c r="J86" t="s">
        <v>42</v>
      </c>
      <c r="L86" t="s">
        <v>65</v>
      </c>
      <c r="N86" t="s">
        <v>99</v>
      </c>
    </row>
    <row r="87" spans="1:14" hidden="1" x14ac:dyDescent="0.3">
      <c r="A87" t="s">
        <v>12</v>
      </c>
      <c r="B87" t="s">
        <v>18</v>
      </c>
      <c r="C87" t="s">
        <v>95</v>
      </c>
      <c r="E87">
        <v>1050</v>
      </c>
      <c r="F87" t="s">
        <v>14</v>
      </c>
      <c r="G87" s="8">
        <v>45572</v>
      </c>
      <c r="I87" t="s">
        <v>75</v>
      </c>
      <c r="J87" t="s">
        <v>44</v>
      </c>
      <c r="L87" t="s">
        <v>92</v>
      </c>
      <c r="N87" t="s">
        <v>99</v>
      </c>
    </row>
    <row r="88" spans="1:14" hidden="1" x14ac:dyDescent="0.3">
      <c r="A88" t="s">
        <v>12</v>
      </c>
      <c r="B88" t="s">
        <v>22</v>
      </c>
      <c r="C88" t="s">
        <v>95</v>
      </c>
      <c r="E88">
        <v>42.5</v>
      </c>
      <c r="F88" t="s">
        <v>14</v>
      </c>
      <c r="G88" s="8">
        <v>45573</v>
      </c>
      <c r="I88" t="s">
        <v>73</v>
      </c>
      <c r="J88" t="s">
        <v>46</v>
      </c>
      <c r="L88" t="s">
        <v>47</v>
      </c>
      <c r="N88" t="s">
        <v>99</v>
      </c>
    </row>
    <row r="89" spans="1:14" hidden="1" x14ac:dyDescent="0.3">
      <c r="A89" t="s">
        <v>12</v>
      </c>
      <c r="B89" t="s">
        <v>13</v>
      </c>
      <c r="C89" t="s">
        <v>95</v>
      </c>
      <c r="E89">
        <v>189.99</v>
      </c>
      <c r="F89" t="s">
        <v>14</v>
      </c>
      <c r="G89" s="8">
        <v>45574</v>
      </c>
      <c r="I89" t="s">
        <v>73</v>
      </c>
      <c r="J89" t="s">
        <v>48</v>
      </c>
      <c r="L89" t="s">
        <v>93</v>
      </c>
      <c r="N89" t="s">
        <v>99</v>
      </c>
    </row>
    <row r="90" spans="1:14" hidden="1" x14ac:dyDescent="0.3">
      <c r="A90" t="s">
        <v>12</v>
      </c>
      <c r="B90" t="s">
        <v>18</v>
      </c>
      <c r="C90" t="s">
        <v>95</v>
      </c>
      <c r="E90">
        <v>95</v>
      </c>
      <c r="F90" t="s">
        <v>14</v>
      </c>
      <c r="G90" s="8">
        <v>45606</v>
      </c>
      <c r="I90" t="s">
        <v>73</v>
      </c>
      <c r="J90" t="s">
        <v>27</v>
      </c>
      <c r="L90" t="s">
        <v>94</v>
      </c>
      <c r="N90" t="s">
        <v>99</v>
      </c>
    </row>
    <row r="91" spans="1:14" hidden="1" x14ac:dyDescent="0.3">
      <c r="A91" t="s">
        <v>12</v>
      </c>
      <c r="B91" t="s">
        <v>22</v>
      </c>
      <c r="C91" t="s">
        <v>95</v>
      </c>
      <c r="E91">
        <v>1.0000000000019301E-2</v>
      </c>
      <c r="F91" t="s">
        <v>14</v>
      </c>
      <c r="G91" s="8">
        <v>45637</v>
      </c>
      <c r="I91" t="s">
        <v>73</v>
      </c>
      <c r="J91" t="s">
        <v>48</v>
      </c>
      <c r="L91" t="s">
        <v>93</v>
      </c>
      <c r="N91" t="s">
        <v>99</v>
      </c>
    </row>
    <row r="92" spans="1:14" hidden="1" x14ac:dyDescent="0.3">
      <c r="A92" t="s">
        <v>12</v>
      </c>
      <c r="B92" t="s">
        <v>13</v>
      </c>
      <c r="C92" t="s">
        <v>95</v>
      </c>
      <c r="E92">
        <v>94.98</v>
      </c>
      <c r="F92" t="s">
        <v>14</v>
      </c>
      <c r="G92" s="8">
        <v>45669</v>
      </c>
      <c r="I92" t="s">
        <v>73</v>
      </c>
      <c r="J92" t="s">
        <v>27</v>
      </c>
      <c r="L92" t="s">
        <v>94</v>
      </c>
      <c r="N92" t="s">
        <v>99</v>
      </c>
    </row>
    <row r="93" spans="1:14" hidden="1" x14ac:dyDescent="0.3">
      <c r="A93" t="s">
        <v>12</v>
      </c>
      <c r="B93" t="s">
        <v>18</v>
      </c>
      <c r="C93" t="s">
        <v>95</v>
      </c>
      <c r="E93">
        <v>189.97</v>
      </c>
      <c r="F93" t="s">
        <v>14</v>
      </c>
      <c r="G93" s="8">
        <v>45701</v>
      </c>
      <c r="I93" t="s">
        <v>73</v>
      </c>
      <c r="J93" t="s">
        <v>48</v>
      </c>
      <c r="L93" t="s">
        <v>93</v>
      </c>
      <c r="N93" t="s">
        <v>99</v>
      </c>
    </row>
    <row r="94" spans="1:14" hidden="1" x14ac:dyDescent="0.3">
      <c r="A94" t="s">
        <v>12</v>
      </c>
      <c r="B94" t="s">
        <v>22</v>
      </c>
      <c r="C94" t="s">
        <v>95</v>
      </c>
      <c r="E94">
        <v>284.95999999999998</v>
      </c>
      <c r="F94" t="s">
        <v>14</v>
      </c>
      <c r="G94" s="8">
        <v>45730</v>
      </c>
      <c r="I94" t="s">
        <v>73</v>
      </c>
      <c r="J94" t="s">
        <v>27</v>
      </c>
      <c r="L94" t="s">
        <v>94</v>
      </c>
      <c r="N94" t="s">
        <v>99</v>
      </c>
    </row>
    <row r="95" spans="1:14" hidden="1" x14ac:dyDescent="0.3">
      <c r="A95" t="s">
        <v>12</v>
      </c>
      <c r="B95" t="s">
        <v>13</v>
      </c>
      <c r="C95" t="s">
        <v>95</v>
      </c>
      <c r="E95">
        <v>379.95</v>
      </c>
      <c r="F95" t="s">
        <v>14</v>
      </c>
      <c r="G95" s="8">
        <v>45762</v>
      </c>
      <c r="I95" t="s">
        <v>73</v>
      </c>
      <c r="J95" t="s">
        <v>48</v>
      </c>
      <c r="L95" t="s">
        <v>93</v>
      </c>
      <c r="N95" t="s">
        <v>99</v>
      </c>
    </row>
    <row r="96" spans="1:14" hidden="1" x14ac:dyDescent="0.3">
      <c r="A96" t="s">
        <v>12</v>
      </c>
      <c r="B96" t="s">
        <v>18</v>
      </c>
      <c r="C96" t="s">
        <v>95</v>
      </c>
      <c r="E96">
        <v>474.94</v>
      </c>
      <c r="F96" t="s">
        <v>14</v>
      </c>
      <c r="G96" s="8">
        <v>45793</v>
      </c>
      <c r="I96" t="s">
        <v>73</v>
      </c>
      <c r="J96" t="s">
        <v>27</v>
      </c>
      <c r="L96" t="s">
        <v>94</v>
      </c>
      <c r="N96" t="s">
        <v>99</v>
      </c>
    </row>
    <row r="97" spans="1:14" hidden="1" x14ac:dyDescent="0.3">
      <c r="A97" t="s">
        <v>12</v>
      </c>
      <c r="B97" t="s">
        <v>22</v>
      </c>
      <c r="C97" t="s">
        <v>95</v>
      </c>
      <c r="E97">
        <v>569.92999999999995</v>
      </c>
      <c r="F97" t="s">
        <v>14</v>
      </c>
      <c r="G97" s="8">
        <v>45825</v>
      </c>
      <c r="I97" t="s">
        <v>73</v>
      </c>
      <c r="J97" t="s">
        <v>48</v>
      </c>
      <c r="L97" t="s">
        <v>93</v>
      </c>
      <c r="N97" t="s">
        <v>99</v>
      </c>
    </row>
    <row r="98" spans="1:14" hidden="1" x14ac:dyDescent="0.3">
      <c r="A98" t="s">
        <v>12</v>
      </c>
      <c r="B98" t="s">
        <v>13</v>
      </c>
      <c r="C98" t="s">
        <v>95</v>
      </c>
      <c r="E98">
        <v>664.92</v>
      </c>
      <c r="F98" t="s">
        <v>14</v>
      </c>
      <c r="G98" s="8">
        <v>45856</v>
      </c>
      <c r="I98" t="s">
        <v>73</v>
      </c>
      <c r="J98" t="s">
        <v>27</v>
      </c>
      <c r="L98" t="s">
        <v>94</v>
      </c>
      <c r="N98" t="s">
        <v>99</v>
      </c>
    </row>
    <row r="99" spans="1:14" hidden="1" x14ac:dyDescent="0.3">
      <c r="A99" t="s">
        <v>12</v>
      </c>
      <c r="B99" t="s">
        <v>18</v>
      </c>
      <c r="C99" t="s">
        <v>95</v>
      </c>
      <c r="E99">
        <v>759.91</v>
      </c>
      <c r="F99" t="s">
        <v>14</v>
      </c>
      <c r="G99" s="8">
        <v>45888</v>
      </c>
      <c r="I99" t="s">
        <v>73</v>
      </c>
      <c r="J99" t="s">
        <v>48</v>
      </c>
      <c r="L99" t="s">
        <v>93</v>
      </c>
      <c r="N99" t="s">
        <v>99</v>
      </c>
    </row>
    <row r="100" spans="1:14" hidden="1" x14ac:dyDescent="0.3">
      <c r="A100" t="s">
        <v>12</v>
      </c>
      <c r="B100" t="s">
        <v>22</v>
      </c>
      <c r="C100" t="s">
        <v>95</v>
      </c>
      <c r="E100">
        <v>854.9</v>
      </c>
      <c r="F100" t="s">
        <v>14</v>
      </c>
      <c r="G100" s="8">
        <v>45920</v>
      </c>
      <c r="I100" t="s">
        <v>73</v>
      </c>
      <c r="J100" t="s">
        <v>27</v>
      </c>
      <c r="L100" t="s">
        <v>94</v>
      </c>
      <c r="N100" t="s">
        <v>99</v>
      </c>
    </row>
    <row r="101" spans="1:14" hidden="1" x14ac:dyDescent="0.3">
      <c r="A101" t="s">
        <v>12</v>
      </c>
      <c r="B101" t="s">
        <v>13</v>
      </c>
      <c r="C101" t="s">
        <v>95</v>
      </c>
      <c r="E101">
        <v>949.89</v>
      </c>
      <c r="F101" t="s">
        <v>14</v>
      </c>
      <c r="G101" s="8">
        <v>45951</v>
      </c>
      <c r="I101" t="s">
        <v>73</v>
      </c>
      <c r="J101" t="s">
        <v>48</v>
      </c>
      <c r="L101" t="s">
        <v>93</v>
      </c>
      <c r="N101" t="s">
        <v>99</v>
      </c>
    </row>
    <row r="102" spans="1:14" hidden="1" x14ac:dyDescent="0.3">
      <c r="A102" t="s">
        <v>12</v>
      </c>
      <c r="B102" t="s">
        <v>18</v>
      </c>
      <c r="C102" t="s">
        <v>95</v>
      </c>
      <c r="E102">
        <v>1044.8800000000001</v>
      </c>
      <c r="F102" t="s">
        <v>14</v>
      </c>
      <c r="G102" s="8">
        <v>45983</v>
      </c>
      <c r="I102" t="s">
        <v>73</v>
      </c>
      <c r="J102" t="s">
        <v>27</v>
      </c>
      <c r="L102" t="s">
        <v>94</v>
      </c>
      <c r="N102" t="s">
        <v>99</v>
      </c>
    </row>
    <row r="103" spans="1:14" hidden="1" x14ac:dyDescent="0.3">
      <c r="A103" t="s">
        <v>12</v>
      </c>
      <c r="B103" t="s">
        <v>22</v>
      </c>
      <c r="C103" t="s">
        <v>95</v>
      </c>
      <c r="E103">
        <v>1139.8699999999999</v>
      </c>
      <c r="F103" t="s">
        <v>14</v>
      </c>
      <c r="G103" s="8">
        <v>46014</v>
      </c>
      <c r="I103" t="s">
        <v>73</v>
      </c>
      <c r="J103" t="s">
        <v>48</v>
      </c>
      <c r="L103" t="s">
        <v>93</v>
      </c>
      <c r="N103" t="s">
        <v>99</v>
      </c>
    </row>
    <row r="104" spans="1:14" hidden="1" x14ac:dyDescent="0.3">
      <c r="A104" t="s">
        <v>12</v>
      </c>
      <c r="B104" t="s">
        <v>13</v>
      </c>
      <c r="C104" t="s">
        <v>95</v>
      </c>
      <c r="E104">
        <v>1234.8599999999999</v>
      </c>
      <c r="F104" t="s">
        <v>14</v>
      </c>
      <c r="G104" s="8">
        <v>46046</v>
      </c>
      <c r="I104" t="s">
        <v>73</v>
      </c>
      <c r="J104" t="s">
        <v>27</v>
      </c>
      <c r="L104" t="s">
        <v>94</v>
      </c>
      <c r="N104" t="s">
        <v>99</v>
      </c>
    </row>
    <row r="105" spans="1:14" hidden="1" x14ac:dyDescent="0.3">
      <c r="A105" t="s">
        <v>12</v>
      </c>
      <c r="B105" t="s">
        <v>18</v>
      </c>
      <c r="C105" t="s">
        <v>95</v>
      </c>
      <c r="E105">
        <v>94.98</v>
      </c>
      <c r="F105" t="s">
        <v>14</v>
      </c>
      <c r="G105" s="8">
        <v>44938</v>
      </c>
      <c r="I105" t="s">
        <v>73</v>
      </c>
      <c r="J105" t="s">
        <v>27</v>
      </c>
      <c r="L105" t="s">
        <v>94</v>
      </c>
      <c r="N105" t="s">
        <v>99</v>
      </c>
    </row>
    <row r="106" spans="1:14" hidden="1" x14ac:dyDescent="0.3">
      <c r="A106" t="s">
        <v>12</v>
      </c>
      <c r="B106" t="s">
        <v>22</v>
      </c>
      <c r="C106" t="s">
        <v>95</v>
      </c>
      <c r="E106">
        <v>189.97</v>
      </c>
      <c r="F106" t="s">
        <v>14</v>
      </c>
      <c r="G106" s="8">
        <v>44970</v>
      </c>
      <c r="I106" t="s">
        <v>73</v>
      </c>
      <c r="J106" t="s">
        <v>48</v>
      </c>
      <c r="L106" t="s">
        <v>93</v>
      </c>
      <c r="N106" t="s">
        <v>99</v>
      </c>
    </row>
    <row r="107" spans="1:14" hidden="1" x14ac:dyDescent="0.3">
      <c r="A107" t="s">
        <v>12</v>
      </c>
      <c r="B107" t="s">
        <v>13</v>
      </c>
      <c r="C107" t="s">
        <v>95</v>
      </c>
      <c r="E107">
        <v>284.95999999999998</v>
      </c>
      <c r="F107" t="s">
        <v>14</v>
      </c>
      <c r="G107" s="8">
        <v>44999</v>
      </c>
      <c r="I107" t="s">
        <v>73</v>
      </c>
      <c r="J107" t="s">
        <v>27</v>
      </c>
      <c r="L107" t="s">
        <v>94</v>
      </c>
      <c r="N107" t="s">
        <v>99</v>
      </c>
    </row>
    <row r="108" spans="1:14" hidden="1" x14ac:dyDescent="0.3">
      <c r="A108" t="s">
        <v>12</v>
      </c>
      <c r="B108" t="s">
        <v>18</v>
      </c>
      <c r="C108" t="s">
        <v>95</v>
      </c>
      <c r="E108">
        <v>379.95</v>
      </c>
      <c r="F108" t="s">
        <v>14</v>
      </c>
      <c r="G108" s="8">
        <v>45031</v>
      </c>
      <c r="I108" t="s">
        <v>73</v>
      </c>
      <c r="J108" t="s">
        <v>48</v>
      </c>
      <c r="L108" t="s">
        <v>93</v>
      </c>
      <c r="N108" t="s">
        <v>99</v>
      </c>
    </row>
    <row r="109" spans="1:14" hidden="1" x14ac:dyDescent="0.3">
      <c r="A109" t="s">
        <v>12</v>
      </c>
      <c r="B109" t="s">
        <v>22</v>
      </c>
      <c r="C109" t="s">
        <v>95</v>
      </c>
      <c r="E109">
        <v>474.94</v>
      </c>
      <c r="F109" t="s">
        <v>14</v>
      </c>
      <c r="G109" s="8">
        <v>45062</v>
      </c>
      <c r="I109" t="s">
        <v>73</v>
      </c>
      <c r="J109" t="s">
        <v>27</v>
      </c>
      <c r="L109" t="s">
        <v>94</v>
      </c>
      <c r="N109" t="s">
        <v>99</v>
      </c>
    </row>
    <row r="110" spans="1:14" hidden="1" x14ac:dyDescent="0.3">
      <c r="A110" t="s">
        <v>12</v>
      </c>
      <c r="B110" t="s">
        <v>13</v>
      </c>
      <c r="C110" t="s">
        <v>95</v>
      </c>
      <c r="E110">
        <v>569.92999999999995</v>
      </c>
      <c r="F110" t="s">
        <v>14</v>
      </c>
      <c r="G110" s="8">
        <v>45094</v>
      </c>
      <c r="I110" t="s">
        <v>73</v>
      </c>
      <c r="J110" t="s">
        <v>48</v>
      </c>
      <c r="L110" t="s">
        <v>93</v>
      </c>
      <c r="N110" t="s">
        <v>99</v>
      </c>
    </row>
    <row r="111" spans="1:14" hidden="1" x14ac:dyDescent="0.3">
      <c r="A111" t="s">
        <v>12</v>
      </c>
      <c r="B111" t="s">
        <v>18</v>
      </c>
      <c r="C111" t="s">
        <v>95</v>
      </c>
      <c r="E111">
        <v>664.92</v>
      </c>
      <c r="F111" t="s">
        <v>14</v>
      </c>
      <c r="G111" s="8">
        <v>45125</v>
      </c>
      <c r="I111" t="s">
        <v>73</v>
      </c>
      <c r="J111" t="s">
        <v>27</v>
      </c>
      <c r="L111" t="s">
        <v>94</v>
      </c>
      <c r="N111" t="s">
        <v>99</v>
      </c>
    </row>
    <row r="112" spans="1:14" hidden="1" x14ac:dyDescent="0.3">
      <c r="A112" t="s">
        <v>12</v>
      </c>
      <c r="B112" t="s">
        <v>22</v>
      </c>
      <c r="C112" t="s">
        <v>95</v>
      </c>
      <c r="E112">
        <v>759.91</v>
      </c>
      <c r="F112" t="s">
        <v>14</v>
      </c>
      <c r="G112" s="8">
        <v>45157</v>
      </c>
      <c r="I112" t="s">
        <v>73</v>
      </c>
      <c r="J112" t="s">
        <v>48</v>
      </c>
      <c r="L112" t="s">
        <v>93</v>
      </c>
      <c r="N112" t="s">
        <v>99</v>
      </c>
    </row>
    <row r="113" spans="1:14" hidden="1" x14ac:dyDescent="0.3">
      <c r="A113" t="s">
        <v>12</v>
      </c>
      <c r="B113" t="s">
        <v>13</v>
      </c>
      <c r="C113" t="s">
        <v>95</v>
      </c>
      <c r="E113">
        <v>854.9</v>
      </c>
      <c r="F113" t="s">
        <v>14</v>
      </c>
      <c r="G113" s="8">
        <v>45189</v>
      </c>
      <c r="I113" t="s">
        <v>73</v>
      </c>
      <c r="J113" t="s">
        <v>27</v>
      </c>
      <c r="L113" t="s">
        <v>94</v>
      </c>
      <c r="N113" t="s">
        <v>99</v>
      </c>
    </row>
    <row r="114" spans="1:14" hidden="1" x14ac:dyDescent="0.3">
      <c r="A114" t="s">
        <v>12</v>
      </c>
      <c r="B114" t="s">
        <v>18</v>
      </c>
      <c r="C114" t="s">
        <v>95</v>
      </c>
      <c r="E114">
        <v>949.89</v>
      </c>
      <c r="F114" t="s">
        <v>14</v>
      </c>
      <c r="G114" s="8">
        <v>45220</v>
      </c>
      <c r="I114" t="s">
        <v>73</v>
      </c>
      <c r="J114" t="s">
        <v>48</v>
      </c>
      <c r="L114" t="s">
        <v>93</v>
      </c>
      <c r="N114" t="s">
        <v>99</v>
      </c>
    </row>
    <row r="115" spans="1:14" hidden="1" x14ac:dyDescent="0.3">
      <c r="A115" t="s">
        <v>12</v>
      </c>
      <c r="B115" t="s">
        <v>22</v>
      </c>
      <c r="C115" t="s">
        <v>95</v>
      </c>
      <c r="E115">
        <v>1044.8800000000001</v>
      </c>
      <c r="F115" t="s">
        <v>14</v>
      </c>
      <c r="G115" s="8">
        <v>45252</v>
      </c>
      <c r="I115" t="s">
        <v>73</v>
      </c>
      <c r="J115" t="s">
        <v>27</v>
      </c>
      <c r="L115" t="s">
        <v>94</v>
      </c>
      <c r="N115" t="s">
        <v>99</v>
      </c>
    </row>
    <row r="116" spans="1:14" hidden="1" x14ac:dyDescent="0.3">
      <c r="A116" t="s">
        <v>12</v>
      </c>
      <c r="B116" t="s">
        <v>13</v>
      </c>
      <c r="C116" t="s">
        <v>95</v>
      </c>
      <c r="E116">
        <v>1139.8699999999999</v>
      </c>
      <c r="F116" t="s">
        <v>14</v>
      </c>
      <c r="G116" s="8">
        <v>45283</v>
      </c>
      <c r="I116" t="s">
        <v>73</v>
      </c>
      <c r="J116" t="s">
        <v>48</v>
      </c>
      <c r="L116" t="s">
        <v>93</v>
      </c>
      <c r="N116" t="s">
        <v>99</v>
      </c>
    </row>
    <row r="122" spans="1:14" x14ac:dyDescent="0.3">
      <c r="E122">
        <f>SUM(E2:E8)</f>
        <v>5393.25</v>
      </c>
    </row>
    <row r="123" spans="1:14" x14ac:dyDescent="0.3">
      <c r="E123">
        <f>E122-E7</f>
        <v>1893.25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497C4-1F27-4206-97AD-DBF6782CC91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focal entity</vt:lpstr>
      <vt:lpstr>Sheet4</vt:lpstr>
      <vt:lpstr>Table3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Azaruddin, Mohamad</dc:creator>
  <cp:lastModifiedBy>Azaruddin, Mohamad</cp:lastModifiedBy>
  <dcterms:created xsi:type="dcterms:W3CDTF">2026-04-13T15:43:57Z</dcterms:created>
  <dcterms:modified xsi:type="dcterms:W3CDTF">2026-04-14T19:51:41Z</dcterms:modified>
</cp:coreProperties>
</file>